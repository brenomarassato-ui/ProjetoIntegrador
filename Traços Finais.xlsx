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tlab-my.sharepoint.com/personal/caroline_vicente_confience_io/Documents/Área de Trabalho/Pessoal/OneDrive_1_06-12-2025/1- ANALISE FINAL/DADOS CORRIGIDOS!!!!/"/>
    </mc:Choice>
  </mc:AlternateContent>
  <xr:revisionPtr revIDLastSave="0" documentId="8_{7A96DC40-CB55-3444-A308-FF6B4C9FE81D}" xr6:coauthVersionLast="47" xr6:coauthVersionMax="47" xr10:uidLastSave="{00000000-0000-0000-0000-000000000000}"/>
  <bookViews>
    <workbookView xWindow="-120" yWindow="-120" windowWidth="20730" windowHeight="11040" tabRatio="500" firstSheet="2" activeTab="7" xr2:uid="{00000000-000D-0000-FFFF-FFFF00000000}"/>
  </bookViews>
  <sheets>
    <sheet name="Traços TUDO" sheetId="1" r:id="rId1"/>
    <sheet name="Alocação" sheetId="2" r:id="rId2"/>
    <sheet name="Plasticidade" sheetId="3" r:id="rId3"/>
    <sheet name="Cabreuva" sheetId="4" r:id="rId4"/>
    <sheet name="Jatobá" sheetId="5" r:id="rId5"/>
    <sheet name="Amendoim" sheetId="6" r:id="rId6"/>
    <sheet name="SBS" sheetId="7" r:id="rId7"/>
    <sheet name="%" sheetId="8" r:id="rId8"/>
  </sheets>
  <calcPr calcId="191028" iterateDelta="1E-4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AR20" i="7" l="1"/>
  <c r="AQ20" i="7"/>
  <c r="AP20" i="7"/>
  <c r="AO20" i="7"/>
  <c r="AR19" i="7"/>
  <c r="AQ19" i="7"/>
  <c r="AP19" i="7"/>
  <c r="AO19" i="7"/>
  <c r="AR18" i="7"/>
  <c r="AQ18" i="7"/>
  <c r="AP18" i="7"/>
  <c r="AO18" i="7"/>
  <c r="AR17" i="7"/>
  <c r="AQ17" i="7"/>
  <c r="AP17" i="7"/>
  <c r="AO17" i="7"/>
  <c r="AR16" i="7"/>
  <c r="AQ16" i="7"/>
  <c r="AP16" i="7"/>
  <c r="AO16" i="7"/>
  <c r="AR15" i="7"/>
  <c r="AQ15" i="7"/>
  <c r="AP15" i="7"/>
  <c r="AO15" i="7"/>
  <c r="AR14" i="7"/>
  <c r="AQ14" i="7"/>
  <c r="AP14" i="7"/>
  <c r="AO14" i="7"/>
  <c r="K50" i="6"/>
  <c r="J50" i="6"/>
  <c r="I50" i="6"/>
  <c r="H50" i="6"/>
  <c r="K49" i="6"/>
  <c r="J49" i="6"/>
  <c r="I49" i="6"/>
  <c r="H49" i="6"/>
  <c r="K48" i="6"/>
  <c r="J48" i="6"/>
  <c r="I48" i="6"/>
  <c r="H48" i="6"/>
  <c r="K47" i="6"/>
  <c r="J47" i="6"/>
  <c r="I47" i="6"/>
  <c r="H47" i="6"/>
  <c r="K46" i="6"/>
  <c r="J46" i="6"/>
  <c r="I46" i="6"/>
  <c r="H46" i="6"/>
  <c r="K45" i="6"/>
  <c r="J45" i="6"/>
  <c r="I45" i="6"/>
  <c r="H45" i="6"/>
  <c r="K44" i="6"/>
  <c r="J44" i="6"/>
  <c r="I44" i="6"/>
  <c r="H44" i="6"/>
  <c r="K29" i="6"/>
  <c r="J29" i="6"/>
  <c r="I29" i="6"/>
  <c r="H29" i="6"/>
  <c r="K28" i="6"/>
  <c r="J28" i="6"/>
  <c r="I28" i="6"/>
  <c r="H28" i="6"/>
  <c r="K27" i="6"/>
  <c r="J27" i="6"/>
  <c r="I27" i="6"/>
  <c r="H27" i="6"/>
  <c r="K26" i="6"/>
  <c r="J26" i="6"/>
  <c r="I26" i="6"/>
  <c r="H26" i="6"/>
  <c r="K25" i="6"/>
  <c r="J25" i="6"/>
  <c r="I25" i="6"/>
  <c r="H25" i="6"/>
  <c r="K24" i="6"/>
  <c r="J24" i="6"/>
  <c r="I24" i="6"/>
  <c r="H24" i="6"/>
  <c r="K23" i="6"/>
  <c r="J23" i="6"/>
  <c r="I23" i="6"/>
  <c r="H23" i="6"/>
  <c r="AV20" i="6"/>
  <c r="AU20" i="6"/>
  <c r="AT20" i="6"/>
  <c r="AS20" i="6"/>
  <c r="AR20" i="6"/>
  <c r="AQ20" i="6"/>
  <c r="AV19" i="6"/>
  <c r="AU19" i="6"/>
  <c r="AT19" i="6"/>
  <c r="AS19" i="6"/>
  <c r="AR19" i="6"/>
  <c r="AQ19" i="6"/>
  <c r="AV18" i="6"/>
  <c r="AU18" i="6"/>
  <c r="AT18" i="6"/>
  <c r="AS18" i="6"/>
  <c r="AR18" i="6"/>
  <c r="AQ18" i="6"/>
  <c r="AV17" i="6"/>
  <c r="AU17" i="6"/>
  <c r="AT17" i="6"/>
  <c r="AS17" i="6"/>
  <c r="AR17" i="6"/>
  <c r="AQ17" i="6"/>
  <c r="AV16" i="6"/>
  <c r="AU16" i="6"/>
  <c r="AT16" i="6"/>
  <c r="AS16" i="6"/>
  <c r="AR16" i="6"/>
  <c r="AQ16" i="6"/>
  <c r="AV15" i="6"/>
  <c r="AU15" i="6"/>
  <c r="AT15" i="6"/>
  <c r="AS15" i="6"/>
  <c r="AR15" i="6"/>
  <c r="AQ15" i="6"/>
  <c r="AV14" i="6"/>
  <c r="AU14" i="6"/>
  <c r="AT14" i="6"/>
  <c r="AS14" i="6"/>
  <c r="AR14" i="6"/>
  <c r="AQ14" i="6"/>
  <c r="AS20" i="5"/>
  <c r="AR20" i="5"/>
  <c r="AQ20" i="5"/>
  <c r="AP20" i="5"/>
  <c r="AS19" i="5"/>
  <c r="AR19" i="5"/>
  <c r="AQ19" i="5"/>
  <c r="AP19" i="5"/>
  <c r="AS18" i="5"/>
  <c r="AR18" i="5"/>
  <c r="AQ18" i="5"/>
  <c r="AP18" i="5"/>
  <c r="AS17" i="5"/>
  <c r="AR17" i="5"/>
  <c r="AQ17" i="5"/>
  <c r="AP17" i="5"/>
  <c r="AS16" i="5"/>
  <c r="AR16" i="5"/>
  <c r="AQ16" i="5"/>
  <c r="AP16" i="5"/>
  <c r="AS15" i="5"/>
  <c r="AR15" i="5"/>
  <c r="AQ15" i="5"/>
  <c r="AP15" i="5"/>
  <c r="AS14" i="5"/>
  <c r="AR14" i="5"/>
  <c r="AQ14" i="5"/>
  <c r="AP14" i="5"/>
  <c r="G28" i="4"/>
  <c r="Q28" i="4"/>
  <c r="AM21" i="4"/>
  <c r="AK21" i="4"/>
  <c r="AM20" i="4"/>
  <c r="AK20" i="4"/>
  <c r="AM19" i="4"/>
  <c r="AK19" i="4"/>
  <c r="AM18" i="4"/>
  <c r="AK18" i="4"/>
  <c r="AM17" i="4"/>
  <c r="AK17" i="4"/>
  <c r="AM16" i="4"/>
  <c r="AK16" i="4"/>
  <c r="AM15" i="4"/>
  <c r="AK15" i="4"/>
  <c r="AU27" i="2"/>
  <c r="T27" i="2"/>
  <c r="S27" i="2"/>
  <c r="R27" i="2"/>
  <c r="Q27" i="2"/>
  <c r="AU24" i="2"/>
  <c r="T24" i="2"/>
  <c r="S24" i="2"/>
  <c r="R24" i="2"/>
  <c r="Q24" i="2"/>
  <c r="AU23" i="2"/>
  <c r="T23" i="2"/>
  <c r="S23" i="2"/>
  <c r="R23" i="2"/>
  <c r="Q23" i="2"/>
  <c r="AU20" i="2"/>
  <c r="T20" i="2"/>
  <c r="S20" i="2"/>
  <c r="R20" i="2"/>
  <c r="Q20" i="2"/>
  <c r="AU17" i="2"/>
  <c r="T17" i="2"/>
  <c r="S17" i="2"/>
  <c r="R17" i="2"/>
  <c r="Q17" i="2"/>
  <c r="AU16" i="2"/>
  <c r="T16" i="2"/>
  <c r="S16" i="2"/>
  <c r="R16" i="2"/>
  <c r="Q16" i="2"/>
  <c r="AU13" i="2"/>
  <c r="T13" i="2"/>
  <c r="S13" i="2"/>
  <c r="R13" i="2"/>
  <c r="Q13" i="2"/>
  <c r="AU10" i="2"/>
  <c r="T10" i="2"/>
  <c r="S10" i="2"/>
  <c r="R10" i="2"/>
  <c r="Q10" i="2"/>
  <c r="AU9" i="2"/>
  <c r="T9" i="2"/>
  <c r="S9" i="2"/>
  <c r="R9" i="2"/>
  <c r="Q9" i="2"/>
  <c r="AU6" i="2"/>
  <c r="T6" i="2"/>
  <c r="S6" i="2"/>
  <c r="R6" i="2"/>
  <c r="Q6" i="2"/>
  <c r="AU3" i="2"/>
  <c r="T3" i="2"/>
  <c r="S3" i="2"/>
  <c r="R3" i="2"/>
  <c r="Q3" i="2"/>
  <c r="AU2" i="2"/>
  <c r="T2" i="2"/>
  <c r="S2" i="2"/>
  <c r="R2" i="2"/>
  <c r="Q2" i="2"/>
  <c r="G77" i="1"/>
  <c r="Q77" i="1"/>
  <c r="G51" i="1"/>
  <c r="Q50" i="1"/>
  <c r="K50" i="1"/>
  <c r="J50" i="1"/>
  <c r="I50" i="1"/>
  <c r="H50" i="1"/>
  <c r="Q49" i="1"/>
  <c r="K49" i="1"/>
  <c r="J49" i="1"/>
  <c r="I49" i="1"/>
  <c r="H49" i="1"/>
  <c r="Q48" i="1"/>
  <c r="K48" i="1"/>
  <c r="J48" i="1"/>
  <c r="I48" i="1"/>
  <c r="H48" i="1"/>
  <c r="Q47" i="1"/>
  <c r="K47" i="1"/>
  <c r="J47" i="1"/>
  <c r="I47" i="1"/>
  <c r="H47" i="1"/>
  <c r="Q46" i="1"/>
  <c r="K46" i="1"/>
  <c r="J46" i="1"/>
  <c r="I46" i="1"/>
  <c r="H46" i="1"/>
  <c r="Q45" i="1"/>
  <c r="K45" i="1"/>
  <c r="J45" i="1"/>
  <c r="I45" i="1"/>
  <c r="H45" i="1"/>
  <c r="Q44" i="1"/>
  <c r="K44" i="1"/>
  <c r="J44" i="1"/>
  <c r="I44" i="1"/>
  <c r="H44" i="1"/>
  <c r="K29" i="1"/>
  <c r="J29" i="1"/>
  <c r="I29" i="1"/>
  <c r="H29" i="1"/>
  <c r="K28" i="1"/>
  <c r="J28" i="1"/>
  <c r="I28" i="1"/>
  <c r="H28" i="1"/>
  <c r="K27" i="1"/>
  <c r="J27" i="1"/>
  <c r="I27" i="1"/>
  <c r="H27" i="1"/>
  <c r="K26" i="1"/>
  <c r="J26" i="1"/>
  <c r="I26" i="1"/>
  <c r="H26" i="1"/>
  <c r="K25" i="1"/>
  <c r="J25" i="1"/>
  <c r="I25" i="1"/>
  <c r="H25" i="1"/>
  <c r="K24" i="1"/>
  <c r="J24" i="1"/>
  <c r="I24" i="1"/>
  <c r="H24" i="1"/>
  <c r="K23" i="1"/>
  <c r="J23" i="1"/>
  <c r="I23" i="1"/>
  <c r="H23" i="1"/>
</calcChain>
</file>

<file path=xl/sharedStrings.xml><?xml version="1.0" encoding="utf-8"?>
<sst xmlns="http://schemas.openxmlformats.org/spreadsheetml/2006/main" count="2254" uniqueCount="113">
  <si>
    <t>SPP</t>
  </si>
  <si>
    <t>TRAT</t>
  </si>
  <si>
    <t>Raiz Fina</t>
  </si>
  <si>
    <t>Raiz grossa</t>
  </si>
  <si>
    <t>Ramos e troncos</t>
  </si>
  <si>
    <t>Folhas</t>
  </si>
  <si>
    <t>Biomassa</t>
  </si>
  <si>
    <t>FMRF</t>
  </si>
  <si>
    <t>FMRG</t>
  </si>
  <si>
    <t>FMRT</t>
  </si>
  <si>
    <t>FMF</t>
  </si>
  <si>
    <t>CMSF</t>
  </si>
  <si>
    <t>TCR</t>
  </si>
  <si>
    <t>EF</t>
  </si>
  <si>
    <t>AF</t>
  </si>
  <si>
    <t>AFE</t>
  </si>
  <si>
    <t>FMR</t>
  </si>
  <si>
    <t>AM</t>
  </si>
  <si>
    <t>SB</t>
  </si>
  <si>
    <t>SA</t>
  </si>
  <si>
    <t>SM</t>
  </si>
  <si>
    <t>LB</t>
  </si>
  <si>
    <t>LA</t>
  </si>
  <si>
    <t>LM</t>
  </si>
  <si>
    <t>CP</t>
  </si>
  <si>
    <t>CAB</t>
  </si>
  <si>
    <t>JAT</t>
  </si>
  <si>
    <t>SBS</t>
  </si>
  <si>
    <t>rank</t>
  </si>
  <si>
    <t>Traço</t>
  </si>
  <si>
    <t>CV</t>
  </si>
  <si>
    <t>Média de CV</t>
  </si>
  <si>
    <t>Trat</t>
  </si>
  <si>
    <t>RGR</t>
  </si>
  <si>
    <t>BBiomassa</t>
  </si>
  <si>
    <t>BRGR</t>
  </si>
  <si>
    <t>BAF</t>
  </si>
  <si>
    <t>BAFE</t>
  </si>
  <si>
    <t xml:space="preserve">Eixo 1 </t>
  </si>
  <si>
    <t>Eixo 2</t>
  </si>
  <si>
    <t>Dados</t>
  </si>
  <si>
    <t>PERMANOVA table of results</t>
  </si>
  <si>
    <t xml:space="preserve">Média - Eixo 1 </t>
  </si>
  <si>
    <t>Média - Eixo 2</t>
  </si>
  <si>
    <t>DesvPad - Eixo 2*</t>
  </si>
  <si>
    <t xml:space="preserve">  </t>
  </si>
  <si>
    <t xml:space="preserve">      </t>
  </si>
  <si>
    <t xml:space="preserve">        </t>
  </si>
  <si>
    <t xml:space="preserve">       </t>
  </si>
  <si>
    <t>Unique</t>
  </si>
  <si>
    <t>Source</t>
  </si>
  <si>
    <t>df</t>
  </si>
  <si>
    <t xml:space="preserve">    SS</t>
  </si>
  <si>
    <t xml:space="preserve">    MS</t>
  </si>
  <si>
    <t>Pseudo-F</t>
  </si>
  <si>
    <t>P(perm)</t>
  </si>
  <si>
    <t xml:space="preserve"> perms</t>
  </si>
  <si>
    <t>tr</t>
  </si>
  <si>
    <t>Res</t>
  </si>
  <si>
    <t>Total</t>
  </si>
  <si>
    <t>Total Resultado</t>
  </si>
  <si>
    <t>Groups</t>
  </si>
  <si>
    <t xml:space="preserve">     t</t>
  </si>
  <si>
    <t>SB, SA</t>
  </si>
  <si>
    <t>a</t>
  </si>
  <si>
    <t>b</t>
  </si>
  <si>
    <t>c</t>
  </si>
  <si>
    <t>d, e</t>
  </si>
  <si>
    <t>c, e</t>
  </si>
  <si>
    <t>e</t>
  </si>
  <si>
    <t>SB, SM</t>
  </si>
  <si>
    <t>erro eixo 1</t>
  </si>
  <si>
    <t>erro eixo 2</t>
  </si>
  <si>
    <t>SB, LB</t>
  </si>
  <si>
    <t>SB, LA</t>
  </si>
  <si>
    <t>SB, LM</t>
  </si>
  <si>
    <t>SB, CP</t>
  </si>
  <si>
    <t>SA, SM</t>
  </si>
  <si>
    <t>SA, LB</t>
  </si>
  <si>
    <t>SA, LA</t>
  </si>
  <si>
    <t>SA, LM</t>
  </si>
  <si>
    <t>SA, CP</t>
  </si>
  <si>
    <t>SM, LB</t>
  </si>
  <si>
    <t>SM, LA</t>
  </si>
  <si>
    <t>SM, LM</t>
  </si>
  <si>
    <t>SM, CP</t>
  </si>
  <si>
    <t>LB, LA</t>
  </si>
  <si>
    <t>LB, LM</t>
  </si>
  <si>
    <t>LB, CP</t>
  </si>
  <si>
    <t>LA, LM</t>
  </si>
  <si>
    <t>LA, CP</t>
  </si>
  <si>
    <t>LM, CP</t>
  </si>
  <si>
    <t>PAIR-WISE TESTS</t>
  </si>
  <si>
    <t>Term 'tr'</t>
  </si>
  <si>
    <t>d</t>
  </si>
  <si>
    <t>f</t>
  </si>
  <si>
    <t>Eixo 3</t>
  </si>
  <si>
    <t xml:space="preserve">DesvPad - Eixo 1 </t>
  </si>
  <si>
    <t>DesvPad - Eixo 2</t>
  </si>
  <si>
    <t>Média - Eixo 3</t>
  </si>
  <si>
    <t>DesvPad - Eixo 3</t>
  </si>
  <si>
    <t xml:space="preserve">Cont.Núm - Eixo 1 </t>
  </si>
  <si>
    <t>erro eixo 3</t>
  </si>
  <si>
    <t xml:space="preserve">      t</t>
  </si>
  <si>
    <t>a,f</t>
  </si>
  <si>
    <t>b, g</t>
  </si>
  <si>
    <t>f,g</t>
  </si>
  <si>
    <t>BCMSF</t>
  </si>
  <si>
    <t>BFMR</t>
  </si>
  <si>
    <t>C. glandulosa</t>
  </si>
  <si>
    <t>H. courbaril</t>
  </si>
  <si>
    <t>M. peruiferum</t>
  </si>
  <si>
    <t>P. nitens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</si>
</sst>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"/>
    <numFmt numFmtId="166" formatCode="0.00000"/>
    <numFmt numFmtId="167" formatCode="0.000"/>
  </numFmts>
  <fonts count="3" x14ac:knownFonts="1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3FD16"/>
        <bgColor rgb="FF99CC00"/>
      </patternFill>
    </fill>
    <fill>
      <patternFill patternType="solid">
        <fgColor rgb="FFFFFF00"/>
        <bgColor rgb="FFFFFF00"/>
      </patternFill>
    </fill>
    <fill>
      <patternFill patternType="solid">
        <fgColor rgb="FF0369A3"/>
        <bgColor rgb="FF008080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</borders>
  <cellStyleXfs count="7">
    <xf numFmtId="0" fontId="0" fillId="0" borderId="0"/>
    <xf numFmtId="0" fontId="2" fillId="0" borderId="0" applyBorder="0" applyProtection="0"/>
    <xf numFmtId="0" fontId="2" fillId="0" borderId="0" applyBorder="0" applyProtection="0"/>
    <xf numFmtId="0" fontId="2" fillId="0" borderId="0" applyBorder="0" applyProtection="0">
      <alignment horizontal="left"/>
    </xf>
    <xf numFmtId="0" fontId="1" fillId="0" borderId="0" applyBorder="0" applyProtection="0"/>
    <xf numFmtId="0" fontId="1" fillId="0" borderId="0" applyBorder="0" applyProtection="0">
      <alignment horizontal="left"/>
    </xf>
    <xf numFmtId="0" fontId="2" fillId="0" borderId="0" applyBorder="0" applyProtection="0"/>
  </cellStyleXfs>
  <cellXfs count="9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2" fontId="0" fillId="0" borderId="0" xfId="0" applyNumberFormat="1"/>
    <xf numFmtId="165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  <xf numFmtId="166" fontId="0" fillId="0" borderId="0" xfId="0" applyNumberFormat="1" applyAlignment="1">
      <alignment horizontal="center"/>
    </xf>
    <xf numFmtId="0" fontId="2" fillId="0" borderId="1" xfId="2" applyBorder="1"/>
    <xf numFmtId="0" fontId="2" fillId="0" borderId="2" xfId="1" applyBorder="1"/>
    <xf numFmtId="0" fontId="2" fillId="0" borderId="3" xfId="2" applyBorder="1"/>
    <xf numFmtId="0" fontId="2" fillId="0" borderId="4" xfId="2" applyBorder="1"/>
    <xf numFmtId="0" fontId="2" fillId="0" borderId="5" xfId="1" applyBorder="1"/>
    <xf numFmtId="0" fontId="2" fillId="0" borderId="6" xfId="3" applyBorder="1">
      <alignment horizontal="left"/>
    </xf>
    <xf numFmtId="0" fontId="2" fillId="0" borderId="7" xfId="3" applyBorder="1">
      <alignment horizontal="left"/>
    </xf>
    <xf numFmtId="0" fontId="2" fillId="0" borderId="8" xfId="3" applyBorder="1">
      <alignment horizontal="left"/>
    </xf>
    <xf numFmtId="0" fontId="2" fillId="0" borderId="9" xfId="3" applyBorder="1">
      <alignment horizontal="left"/>
    </xf>
    <xf numFmtId="11" fontId="2" fillId="0" borderId="10" xfId="6" applyNumberFormat="1" applyBorder="1"/>
    <xf numFmtId="11" fontId="2" fillId="0" borderId="11" xfId="6" applyNumberFormat="1" applyBorder="1"/>
    <xf numFmtId="11" fontId="2" fillId="0" borderId="12" xfId="6" applyNumberFormat="1" applyBorder="1"/>
    <xf numFmtId="0" fontId="2" fillId="0" borderId="13" xfId="3" applyBorder="1">
      <alignment horizontal="left"/>
    </xf>
    <xf numFmtId="11" fontId="2" fillId="0" borderId="14" xfId="6" applyNumberFormat="1" applyBorder="1"/>
    <xf numFmtId="11" fontId="2" fillId="0" borderId="0" xfId="6" applyNumberFormat="1"/>
    <xf numFmtId="11" fontId="2" fillId="0" borderId="15" xfId="6" applyNumberFormat="1" applyBorder="1"/>
    <xf numFmtId="11" fontId="0" fillId="0" borderId="0" xfId="0" applyNumberFormat="1"/>
    <xf numFmtId="11" fontId="2" fillId="0" borderId="6" xfId="6" applyNumberFormat="1" applyBorder="1"/>
    <xf numFmtId="11" fontId="2" fillId="0" borderId="7" xfId="6" applyNumberFormat="1" applyBorder="1"/>
    <xf numFmtId="11" fontId="2" fillId="0" borderId="8" xfId="6" applyNumberFormat="1" applyBorder="1"/>
    <xf numFmtId="0" fontId="1" fillId="0" borderId="16" xfId="5" applyBorder="1">
      <alignment horizontal="left"/>
    </xf>
    <xf numFmtId="11" fontId="1" fillId="0" borderId="17" xfId="4" applyNumberFormat="1" applyBorder="1"/>
    <xf numFmtId="11" fontId="1" fillId="0" borderId="18" xfId="4" applyNumberFormat="1" applyBorder="1"/>
    <xf numFmtId="11" fontId="1" fillId="0" borderId="19" xfId="4" applyNumberFormat="1" applyBorder="1"/>
    <xf numFmtId="0" fontId="2" fillId="0" borderId="3" xfId="3" applyBorder="1" applyProtection="1">
      <alignment horizontal="left"/>
    </xf>
    <xf numFmtId="0" fontId="2" fillId="0" borderId="20" xfId="3" applyBorder="1" applyProtection="1">
      <alignment horizontal="left"/>
    </xf>
    <xf numFmtId="4" fontId="2" fillId="0" borderId="9" xfId="3" applyNumberFormat="1" applyBorder="1" applyProtection="1">
      <alignment horizontal="left"/>
    </xf>
    <xf numFmtId="4" fontId="2" fillId="0" borderId="10" xfId="6" applyNumberFormat="1" applyBorder="1" applyProtection="1"/>
    <xf numFmtId="4" fontId="2" fillId="0" borderId="11" xfId="6" applyNumberFormat="1" applyBorder="1" applyProtection="1"/>
    <xf numFmtId="4" fontId="2" fillId="0" borderId="13" xfId="3" applyNumberFormat="1" applyBorder="1" applyProtection="1">
      <alignment horizontal="left"/>
    </xf>
    <xf numFmtId="4" fontId="2" fillId="0" borderId="14" xfId="6" applyNumberFormat="1" applyBorder="1" applyProtection="1"/>
    <xf numFmtId="4" fontId="2" fillId="0" borderId="0" xfId="6" applyNumberFormat="1" applyBorder="1" applyProtection="1"/>
    <xf numFmtId="4" fontId="2" fillId="0" borderId="6" xfId="6" applyNumberFormat="1" applyBorder="1" applyProtection="1"/>
    <xf numFmtId="4" fontId="2" fillId="0" borderId="7" xfId="6" applyNumberFormat="1" applyBorder="1" applyProtection="1"/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2" fillId="0" borderId="10" xfId="6" applyBorder="1"/>
    <xf numFmtId="0" fontId="2" fillId="0" borderId="11" xfId="6" applyBorder="1"/>
    <xf numFmtId="0" fontId="2" fillId="0" borderId="12" xfId="6" applyBorder="1"/>
    <xf numFmtId="0" fontId="2" fillId="0" borderId="14" xfId="6" applyBorder="1"/>
    <xf numFmtId="0" fontId="2" fillId="0" borderId="0" xfId="6"/>
    <xf numFmtId="0" fontId="2" fillId="0" borderId="15" xfId="6" applyBorder="1"/>
    <xf numFmtId="0" fontId="2" fillId="0" borderId="6" xfId="6" applyBorder="1"/>
    <xf numFmtId="0" fontId="2" fillId="0" borderId="7" xfId="6" applyBorder="1"/>
    <xf numFmtId="0" fontId="2" fillId="0" borderId="8" xfId="6" applyBorder="1"/>
    <xf numFmtId="0" fontId="1" fillId="0" borderId="17" xfId="4" applyBorder="1"/>
    <xf numFmtId="0" fontId="1" fillId="0" borderId="18" xfId="4" applyBorder="1"/>
    <xf numFmtId="0" fontId="1" fillId="0" borderId="19" xfId="4" applyBorder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2" fillId="0" borderId="1" xfId="2" applyBorder="1" applyProtection="1"/>
    <xf numFmtId="0" fontId="2" fillId="0" borderId="2" xfId="1" applyBorder="1" applyProtection="1"/>
    <xf numFmtId="0" fontId="2" fillId="0" borderId="3" xfId="2" applyBorder="1" applyProtection="1"/>
    <xf numFmtId="0" fontId="2" fillId="0" borderId="4" xfId="2" applyBorder="1" applyProtection="1"/>
    <xf numFmtId="164" fontId="0" fillId="0" borderId="0" xfId="0" applyNumberFormat="1" applyAlignment="1">
      <alignment horizontal="right"/>
    </xf>
    <xf numFmtId="0" fontId="2" fillId="0" borderId="5" xfId="1" applyBorder="1" applyProtection="1"/>
    <xf numFmtId="0" fontId="2" fillId="0" borderId="6" xfId="3" applyBorder="1" applyProtection="1">
      <alignment horizontal="left"/>
    </xf>
    <xf numFmtId="0" fontId="2" fillId="0" borderId="7" xfId="3" applyBorder="1" applyProtection="1">
      <alignment horizontal="left"/>
    </xf>
    <xf numFmtId="0" fontId="2" fillId="0" borderId="8" xfId="3" applyBorder="1" applyProtection="1">
      <alignment horizontal="left"/>
    </xf>
    <xf numFmtId="0" fontId="2" fillId="0" borderId="9" xfId="3" applyBorder="1" applyProtection="1">
      <alignment horizontal="left"/>
    </xf>
    <xf numFmtId="0" fontId="2" fillId="0" borderId="10" xfId="6" applyBorder="1" applyProtection="1"/>
    <xf numFmtId="0" fontId="2" fillId="0" borderId="11" xfId="6" applyBorder="1" applyProtection="1"/>
    <xf numFmtId="0" fontId="2" fillId="0" borderId="12" xfId="6" applyBorder="1" applyProtection="1"/>
    <xf numFmtId="0" fontId="2" fillId="0" borderId="13" xfId="3" applyBorder="1" applyProtection="1">
      <alignment horizontal="left"/>
    </xf>
    <xf numFmtId="0" fontId="2" fillId="0" borderId="14" xfId="6" applyBorder="1" applyProtection="1"/>
    <xf numFmtId="0" fontId="2" fillId="0" borderId="0" xfId="6" applyBorder="1" applyProtection="1"/>
    <xf numFmtId="0" fontId="2" fillId="0" borderId="15" xfId="6" applyBorder="1" applyProtection="1"/>
    <xf numFmtId="0" fontId="2" fillId="0" borderId="6" xfId="6" applyBorder="1" applyProtection="1"/>
    <xf numFmtId="0" fontId="2" fillId="0" borderId="7" xfId="6" applyBorder="1" applyProtection="1"/>
    <xf numFmtId="0" fontId="2" fillId="0" borderId="8" xfId="6" applyBorder="1" applyProtection="1"/>
    <xf numFmtId="0" fontId="1" fillId="0" borderId="16" xfId="5" applyBorder="1" applyProtection="1">
      <alignment horizontal="left"/>
    </xf>
    <xf numFmtId="0" fontId="1" fillId="0" borderId="17" xfId="4" applyBorder="1" applyProtection="1"/>
    <xf numFmtId="0" fontId="1" fillId="0" borderId="18" xfId="4" applyBorder="1" applyProtection="1"/>
    <xf numFmtId="0" fontId="1" fillId="0" borderId="19" xfId="4" applyBorder="1" applyProtection="1"/>
    <xf numFmtId="167" fontId="0" fillId="0" borderId="0" xfId="0" applyNumberFormat="1" applyAlignment="1">
      <alignment horizontal="right"/>
    </xf>
    <xf numFmtId="167" fontId="0" fillId="0" borderId="0" xfId="0" applyNumberFormat="1"/>
    <xf numFmtId="164" fontId="0" fillId="0" borderId="0" xfId="0" applyNumberFormat="1"/>
    <xf numFmtId="165" fontId="0" fillId="3" borderId="0" xfId="0" applyNumberFormat="1" applyFill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7">
    <cellStyle name="Campo da tabela dinâmica" xfId="1" xr:uid="{00000000-0005-0000-0000-000006000000}"/>
    <cellStyle name="Canto da tabela dinâmica" xfId="2" xr:uid="{00000000-0005-0000-0000-000007000000}"/>
    <cellStyle name="Categoria da tabela dinâmica" xfId="3" xr:uid="{00000000-0005-0000-0000-000008000000}"/>
    <cellStyle name="Normal" xfId="0" builtinId="0"/>
    <cellStyle name="Resultado da tabela dinâmica" xfId="4" xr:uid="{00000000-0005-0000-0000-000009000000}"/>
    <cellStyle name="Título da tabela dinâmica" xfId="5" xr:uid="{00000000-0005-0000-0000-00000A000000}"/>
    <cellStyle name="Valor da tabela dinâmica" xfId="6" xr:uid="{00000000-0005-0000-0000-00000B000000}"/>
  </cellStyles>
  <dxfs count="4">
    <dxf>
      <font>
        <b/>
        <i val="0"/>
        <sz val="10"/>
        <color rgb="FF000000"/>
        <name val="Arial"/>
        <family val="2"/>
      </font>
      <fill>
        <patternFill>
          <bgColor rgb="FFDDDDDD"/>
        </patternFill>
      </fill>
    </dxf>
    <dxf>
      <font>
        <b/>
        <i val="0"/>
        <sz val="10"/>
        <color rgb="FF000000"/>
        <name val="Arial"/>
        <family val="2"/>
      </font>
      <fill>
        <patternFill>
          <bgColor rgb="FFDDDDDD"/>
        </patternFill>
      </fill>
    </dxf>
    <dxf>
      <font>
        <b/>
        <i val="0"/>
        <sz val="10"/>
        <color rgb="FF000000"/>
        <name val="Arial"/>
        <family val="2"/>
      </font>
      <fill>
        <patternFill>
          <bgColor rgb="FFDDDDDD"/>
        </patternFill>
      </fill>
    </dxf>
    <dxf>
      <font>
        <b/>
        <i val="0"/>
        <sz val="10"/>
        <color rgb="FF000000"/>
        <name val="Arial"/>
        <family val="2"/>
      </font>
      <fill>
        <patternFill>
          <bgColor rgb="FFDDDDD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33FD16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369A3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theme" Target="theme/theme1.xml" /><Relationship Id="rId5" Type="http://schemas.openxmlformats.org/officeDocument/2006/relationships/worksheet" Target="worksheets/sheet5.xml" /><Relationship Id="rId10" Type="http://schemas.openxmlformats.org/officeDocument/2006/relationships/pivotCacheDefinition" Target="pivotCache/pivotCacheDefinition2.xml" /><Relationship Id="rId4" Type="http://schemas.openxmlformats.org/officeDocument/2006/relationships/worksheet" Target="worksheets/sheet4.xml" /><Relationship Id="rId9" Type="http://schemas.openxmlformats.org/officeDocument/2006/relationships/pivotCacheDefinition" Target="pivotCache/pivotCacheDefinition1.xml" /><Relationship Id="rId14" Type="http://schemas.openxmlformats.org/officeDocument/2006/relationships/calcChain" Target="calcChain.xml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49" xr:uid="{00000000-000A-0000-FFFF-FFFF01000000}">
  <cacheSource type="worksheet">
    <worksheetSource ref="AD1:AF50" sheet="Cabreuva"/>
  </cacheSource>
  <cacheFields count="3">
    <cacheField name="Trat" numFmtId="0">
      <sharedItems count="7">
        <s v="CP"/>
        <s v="LA"/>
        <s v="LB"/>
        <s v="LM"/>
        <s v="SA"/>
        <s v="SB"/>
        <s v="SM"/>
      </sharedItems>
    </cacheField>
    <cacheField name="Eixo 1 " numFmtId="0">
      <sharedItems containsSemiMixedTypes="0" containsString="0" containsNumber="1" minValue="-3.4845899999999999" maxValue="2.75657" count="49">
        <n v="-3.4845899999999999"/>
        <n v="-2.7451400000000001"/>
        <n v="-2.47099"/>
        <n v="-2.3640300000000001"/>
        <n v="-2.0853799999999998"/>
        <n v="-2.04284"/>
        <n v="-2.0048599999999999"/>
        <n v="-1.9676100000000001"/>
        <n v="-1.6644600000000001"/>
        <n v="-1.61317"/>
        <n v="-1.56613"/>
        <n v="-1.3348500000000001"/>
        <n v="-1.31135"/>
        <n v="-1.2113700000000001"/>
        <n v="-0.99922"/>
        <n v="-0.93120000000000003"/>
        <n v="-0.86160999999999999"/>
        <n v="-0.76158999999999999"/>
        <n v="-0.66612000000000005"/>
        <n v="-0.52100999999999997"/>
        <n v="-0.51298999999999995"/>
        <n v="-0.43269999999999997"/>
        <n v="-0.35558000000000001"/>
        <n v="-0.27433000000000002"/>
        <n v="-0.24814"/>
        <n v="-2.4199999999999999E-2"/>
        <n v="8.0965900000000001E-4"/>
        <n v="0.13152"/>
        <n v="0.22223000000000001"/>
        <n v="0.51773999999999998"/>
        <n v="0.55735000000000001"/>
        <n v="0.60189999999999999"/>
        <n v="0.65795999999999999"/>
        <n v="0.75366999999999995"/>
        <n v="0.94069000000000003"/>
        <n v="0.94782"/>
        <n v="1.2553799999999999"/>
        <n v="1.8612500000000001"/>
        <n v="1.9182399999999999"/>
        <n v="1.9575400000000001"/>
        <n v="2.0442"/>
        <n v="2.2181000000000002"/>
        <n v="2.4198"/>
        <n v="2.4706600000000001"/>
        <n v="2.48285"/>
        <n v="2.4933800000000002"/>
        <n v="2.6148699999999998"/>
        <n v="2.6309399999999998"/>
        <n v="2.75657"/>
      </sharedItems>
    </cacheField>
    <cacheField name="Eixo 2" numFmtId="0">
      <sharedItems containsSemiMixedTypes="0" containsString="0" containsNumber="1" minValue="-3.5563199999999999" maxValue="2.87853" count="49">
        <n v="-3.5563199999999999"/>
        <n v="-2.9228299999999998"/>
        <n v="-2.8424700000000001"/>
        <n v="-2.8288600000000002"/>
        <n v="-2.6217100000000002"/>
        <n v="-2.27854"/>
        <n v="-2.0348299999999999"/>
        <n v="-1.9921599999999999"/>
        <n v="-1.33117"/>
        <n v="-1.1096999999999999"/>
        <n v="-0.95472000000000001"/>
        <n v="-0.76700999999999997"/>
        <n v="-0.58953"/>
        <n v="-0.50343000000000004"/>
        <n v="-0.45206000000000002"/>
        <n v="-0.39306000000000002"/>
        <n v="-0.38657000000000002"/>
        <n v="-0.28575"/>
        <n v="-0.25408999999999998"/>
        <n v="-0.15851000000000001"/>
        <n v="-0.14402000000000001"/>
        <n v="-0.11706999999999999"/>
        <n v="-8.4096599999999996E-4"/>
        <n v="3.3799999999999997E-2"/>
        <n v="9.3689999999999996E-2"/>
        <n v="0.14729"/>
        <n v="0.21285999999999999"/>
        <n v="0.30486999999999997"/>
        <n v="0.54849000000000003"/>
        <n v="0.57916000000000001"/>
        <n v="0.60519999999999996"/>
        <n v="0.66951000000000005"/>
        <n v="0.68545"/>
        <n v="0.73829"/>
        <n v="0.91098999999999997"/>
        <n v="1.0628599999999999"/>
        <n v="1.22475"/>
        <n v="1.2611300000000001"/>
        <n v="1.26875"/>
        <n v="1.4634199999999999"/>
        <n v="1.5129699999999999"/>
        <n v="1.5431699999999999"/>
        <n v="1.55078"/>
        <n v="1.70007"/>
        <n v="1.7599199999999999"/>
        <n v="1.8111299999999999"/>
        <n v="1.9194100000000001"/>
        <n v="2.0387300000000002"/>
        <n v="2.8785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49" xr:uid="{00000000-000A-0000-FFFF-FFFF02000000}">
  <cacheSource type="worksheet">
    <worksheetSource ref="AK1:AM50" sheet="Jatobá"/>
  </cacheSource>
  <cacheFields count="3">
    <cacheField name="Trat" numFmtId="0">
      <sharedItems count="7">
        <s v="CP"/>
        <s v="LA"/>
        <s v="LB"/>
        <s v="LM"/>
        <s v="SA"/>
        <s v="SB"/>
        <s v="SM"/>
      </sharedItems>
    </cacheField>
    <cacheField name="Eixo 1 " numFmtId="0">
      <sharedItems containsSemiMixedTypes="0" containsString="0" containsNumber="1" minValue="-3.8197800000000002" maxValue="3.2647400000000002" count="49">
        <n v="-3.8197800000000002"/>
        <n v="-2.8628900000000002"/>
        <n v="-2.62486"/>
        <n v="-2.4026399999999999"/>
        <n v="-2.2850199999999998"/>
        <n v="-2.2764099999999998"/>
        <n v="-2.2617099999999999"/>
        <n v="-2.2547700000000002"/>
        <n v="-1.8279399999999999"/>
        <n v="-1.7113799999999999"/>
        <n v="-1.6562300000000001"/>
        <n v="-1.5293600000000001"/>
        <n v="-1.38171"/>
        <n v="-1.3164899999999999"/>
        <n v="-1.23559"/>
        <n v="-1.1773400000000001"/>
        <n v="-0.86824999999999997"/>
        <n v="-0.86595999999999995"/>
        <n v="-0.86397000000000002"/>
        <n v="-0.86102000000000001"/>
        <n v="-0.77902000000000005"/>
        <n v="-0.52044000000000001"/>
        <n v="-0.39056000000000002"/>
        <n v="-0.35621000000000003"/>
        <n v="5.6579999999999998E-2"/>
        <n v="8.0140000000000003E-2"/>
        <n v="0.22745000000000001"/>
        <n v="0.25411"/>
        <n v="0.29905999999999999"/>
        <n v="0.30047000000000001"/>
        <n v="0.53598999999999997"/>
        <n v="0.71784000000000003"/>
        <n v="0.75856999999999997"/>
        <n v="0.83303000000000005"/>
        <n v="1.2902100000000001"/>
        <n v="1.42245"/>
        <n v="1.6443000000000001"/>
        <n v="1.68913"/>
        <n v="1.8018700000000001"/>
        <n v="2.0118100000000001"/>
        <n v="2.12595"/>
        <n v="2.2625899999999999"/>
        <n v="2.2849200000000001"/>
        <n v="2.4829599999999998"/>
        <n v="2.7589299999999999"/>
        <n v="2.9247200000000002"/>
        <n v="3.0076299999999998"/>
        <n v="3.0941100000000001"/>
        <n v="3.2647400000000002"/>
      </sharedItems>
    </cacheField>
    <cacheField name="Eixo 2" numFmtId="0">
      <sharedItems containsSemiMixedTypes="0" containsString="0" containsNumber="1" minValue="-3.0919400000000001" maxValue="3.0535600000000001" count="49">
        <n v="-3.0919400000000001"/>
        <n v="-2.9130199999999999"/>
        <n v="-2.1374200000000001"/>
        <n v="-2.0398700000000001"/>
        <n v="-1.9730000000000001"/>
        <n v="-1.9215899999999999"/>
        <n v="-1.65127"/>
        <n v="-1.64056"/>
        <n v="-1.18858"/>
        <n v="-1.1678299999999999"/>
        <n v="-0.97946"/>
        <n v="-0.95498000000000005"/>
        <n v="-0.92386999999999997"/>
        <n v="-0.81220000000000003"/>
        <n v="-0.75461"/>
        <n v="-0.67988999999999999"/>
        <n v="-0.63641999999999999"/>
        <n v="-0.48673"/>
        <n v="-0.40955000000000003"/>
        <n v="-0.35453000000000001"/>
        <n v="-0.34115000000000001"/>
        <n v="-0.29389999999999999"/>
        <n v="-0.22608"/>
        <n v="-0.12019000000000001"/>
        <n v="-6.5460000000000004E-2"/>
        <n v="0.29458000000000001"/>
        <n v="0.31759999999999999"/>
        <n v="0.35315999999999997"/>
        <n v="0.47570000000000001"/>
        <n v="0.59145000000000003"/>
        <n v="0.60911000000000004"/>
        <n v="0.67691999999999997"/>
        <n v="0.69179000000000002"/>
        <n v="0.73023000000000005"/>
        <n v="0.85502"/>
        <n v="0.86880000000000002"/>
        <n v="0.89502999999999999"/>
        <n v="0.96504999999999996"/>
        <n v="0.97657000000000005"/>
        <n v="0.99761999999999995"/>
        <n v="1.0022500000000001"/>
        <n v="1.0476099999999999"/>
        <n v="1.2612300000000001"/>
        <n v="1.60148"/>
        <n v="1.82931"/>
        <n v="1.9466399999999999"/>
        <n v="2.8216700000000001"/>
        <n v="2.9017300000000001"/>
        <n v="3.05356000000000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">
  <r>
    <x v="5"/>
    <x v="4"/>
    <x v="16"/>
  </r>
  <r>
    <x v="5"/>
    <x v="1"/>
    <x v="21"/>
  </r>
  <r>
    <x v="5"/>
    <x v="10"/>
    <x v="29"/>
  </r>
  <r>
    <x v="5"/>
    <x v="22"/>
    <x v="20"/>
  </r>
  <r>
    <x v="5"/>
    <x v="20"/>
    <x v="10"/>
  </r>
  <r>
    <x v="5"/>
    <x v="19"/>
    <x v="22"/>
  </r>
  <r>
    <x v="5"/>
    <x v="15"/>
    <x v="34"/>
  </r>
  <r>
    <x v="4"/>
    <x v="14"/>
    <x v="46"/>
  </r>
  <r>
    <x v="4"/>
    <x v="9"/>
    <x v="32"/>
  </r>
  <r>
    <x v="4"/>
    <x v="11"/>
    <x v="27"/>
  </r>
  <r>
    <x v="4"/>
    <x v="13"/>
    <x v="37"/>
  </r>
  <r>
    <x v="4"/>
    <x v="18"/>
    <x v="39"/>
  </r>
  <r>
    <x v="4"/>
    <x v="16"/>
    <x v="35"/>
  </r>
  <r>
    <x v="4"/>
    <x v="12"/>
    <x v="9"/>
  </r>
  <r>
    <x v="6"/>
    <x v="6"/>
    <x v="48"/>
  </r>
  <r>
    <x v="6"/>
    <x v="3"/>
    <x v="13"/>
  </r>
  <r>
    <x v="6"/>
    <x v="7"/>
    <x v="15"/>
  </r>
  <r>
    <x v="6"/>
    <x v="0"/>
    <x v="24"/>
  </r>
  <r>
    <x v="6"/>
    <x v="5"/>
    <x v="18"/>
  </r>
  <r>
    <x v="6"/>
    <x v="8"/>
    <x v="25"/>
  </r>
  <r>
    <x v="6"/>
    <x v="17"/>
    <x v="28"/>
  </r>
  <r>
    <x v="2"/>
    <x v="37"/>
    <x v="6"/>
  </r>
  <r>
    <x v="2"/>
    <x v="46"/>
    <x v="47"/>
  </r>
  <r>
    <x v="2"/>
    <x v="44"/>
    <x v="43"/>
  </r>
  <r>
    <x v="2"/>
    <x v="39"/>
    <x v="26"/>
  </r>
  <r>
    <x v="2"/>
    <x v="38"/>
    <x v="17"/>
  </r>
  <r>
    <x v="2"/>
    <x v="45"/>
    <x v="44"/>
  </r>
  <r>
    <x v="2"/>
    <x v="48"/>
    <x v="30"/>
  </r>
  <r>
    <x v="1"/>
    <x v="23"/>
    <x v="8"/>
  </r>
  <r>
    <x v="1"/>
    <x v="21"/>
    <x v="14"/>
  </r>
  <r>
    <x v="1"/>
    <x v="26"/>
    <x v="45"/>
  </r>
  <r>
    <x v="1"/>
    <x v="29"/>
    <x v="36"/>
  </r>
  <r>
    <x v="1"/>
    <x v="33"/>
    <x v="42"/>
  </r>
  <r>
    <x v="1"/>
    <x v="24"/>
    <x v="7"/>
  </r>
  <r>
    <x v="1"/>
    <x v="32"/>
    <x v="12"/>
  </r>
  <r>
    <x v="3"/>
    <x v="31"/>
    <x v="31"/>
  </r>
  <r>
    <x v="3"/>
    <x v="41"/>
    <x v="41"/>
  </r>
  <r>
    <x v="3"/>
    <x v="43"/>
    <x v="2"/>
  </r>
  <r>
    <x v="3"/>
    <x v="42"/>
    <x v="38"/>
  </r>
  <r>
    <x v="3"/>
    <x v="30"/>
    <x v="19"/>
  </r>
  <r>
    <x v="3"/>
    <x v="36"/>
    <x v="40"/>
  </r>
  <r>
    <x v="3"/>
    <x v="40"/>
    <x v="3"/>
  </r>
  <r>
    <x v="0"/>
    <x v="34"/>
    <x v="5"/>
  </r>
  <r>
    <x v="0"/>
    <x v="28"/>
    <x v="1"/>
  </r>
  <r>
    <x v="0"/>
    <x v="2"/>
    <x v="0"/>
  </r>
  <r>
    <x v="0"/>
    <x v="27"/>
    <x v="11"/>
  </r>
  <r>
    <x v="0"/>
    <x v="25"/>
    <x v="23"/>
  </r>
  <r>
    <x v="0"/>
    <x v="35"/>
    <x v="33"/>
  </r>
  <r>
    <x v="0"/>
    <x v="47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9">
  <r>
    <x v="5"/>
    <x v="10"/>
    <x v="26"/>
  </r>
  <r>
    <x v="5"/>
    <x v="18"/>
    <x v="19"/>
  </r>
  <r>
    <x v="5"/>
    <x v="20"/>
    <x v="42"/>
  </r>
  <r>
    <x v="5"/>
    <x v="31"/>
    <x v="48"/>
  </r>
  <r>
    <x v="5"/>
    <x v="30"/>
    <x v="23"/>
  </r>
  <r>
    <x v="5"/>
    <x v="21"/>
    <x v="44"/>
  </r>
  <r>
    <x v="5"/>
    <x v="15"/>
    <x v="36"/>
  </r>
  <r>
    <x v="4"/>
    <x v="4"/>
    <x v="31"/>
  </r>
  <r>
    <x v="4"/>
    <x v="3"/>
    <x v="40"/>
  </r>
  <r>
    <x v="4"/>
    <x v="12"/>
    <x v="47"/>
  </r>
  <r>
    <x v="4"/>
    <x v="1"/>
    <x v="46"/>
  </r>
  <r>
    <x v="4"/>
    <x v="7"/>
    <x v="32"/>
  </r>
  <r>
    <x v="4"/>
    <x v="5"/>
    <x v="39"/>
  </r>
  <r>
    <x v="4"/>
    <x v="2"/>
    <x v="43"/>
  </r>
  <r>
    <x v="6"/>
    <x v="28"/>
    <x v="17"/>
  </r>
  <r>
    <x v="6"/>
    <x v="22"/>
    <x v="16"/>
  </r>
  <r>
    <x v="6"/>
    <x v="29"/>
    <x v="34"/>
  </r>
  <r>
    <x v="6"/>
    <x v="13"/>
    <x v="18"/>
  </r>
  <r>
    <x v="6"/>
    <x v="16"/>
    <x v="35"/>
  </r>
  <r>
    <x v="6"/>
    <x v="17"/>
    <x v="24"/>
  </r>
  <r>
    <x v="6"/>
    <x v="14"/>
    <x v="10"/>
  </r>
  <r>
    <x v="2"/>
    <x v="41"/>
    <x v="37"/>
  </r>
  <r>
    <x v="2"/>
    <x v="34"/>
    <x v="38"/>
  </r>
  <r>
    <x v="2"/>
    <x v="48"/>
    <x v="41"/>
  </r>
  <r>
    <x v="2"/>
    <x v="35"/>
    <x v="2"/>
  </r>
  <r>
    <x v="2"/>
    <x v="46"/>
    <x v="8"/>
  </r>
  <r>
    <x v="2"/>
    <x v="42"/>
    <x v="13"/>
  </r>
  <r>
    <x v="2"/>
    <x v="36"/>
    <x v="27"/>
  </r>
  <r>
    <x v="1"/>
    <x v="37"/>
    <x v="12"/>
  </r>
  <r>
    <x v="1"/>
    <x v="47"/>
    <x v="28"/>
  </r>
  <r>
    <x v="1"/>
    <x v="39"/>
    <x v="25"/>
  </r>
  <r>
    <x v="1"/>
    <x v="43"/>
    <x v="29"/>
  </r>
  <r>
    <x v="1"/>
    <x v="45"/>
    <x v="30"/>
  </r>
  <r>
    <x v="1"/>
    <x v="40"/>
    <x v="45"/>
  </r>
  <r>
    <x v="1"/>
    <x v="44"/>
    <x v="33"/>
  </r>
  <r>
    <x v="3"/>
    <x v="23"/>
    <x v="3"/>
  </r>
  <r>
    <x v="3"/>
    <x v="38"/>
    <x v="7"/>
  </r>
  <r>
    <x v="3"/>
    <x v="33"/>
    <x v="11"/>
  </r>
  <r>
    <x v="3"/>
    <x v="32"/>
    <x v="15"/>
  </r>
  <r>
    <x v="3"/>
    <x v="24"/>
    <x v="1"/>
  </r>
  <r>
    <x v="3"/>
    <x v="25"/>
    <x v="5"/>
  </r>
  <r>
    <x v="3"/>
    <x v="27"/>
    <x v="4"/>
  </r>
  <r>
    <x v="0"/>
    <x v="6"/>
    <x v="14"/>
  </r>
  <r>
    <x v="0"/>
    <x v="9"/>
    <x v="9"/>
  </r>
  <r>
    <x v="0"/>
    <x v="0"/>
    <x v="0"/>
  </r>
  <r>
    <x v="0"/>
    <x v="11"/>
    <x v="21"/>
  </r>
  <r>
    <x v="0"/>
    <x v="8"/>
    <x v="6"/>
  </r>
  <r>
    <x v="0"/>
    <x v="19"/>
    <x v="20"/>
  </r>
  <r>
    <x v="0"/>
    <x v="26"/>
    <x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DataPilot3" cacheId="0" applyNumberFormats="0" applyBorderFormats="0" applyFontFormats="0" applyPatternFormats="0" applyAlignmentFormats="0" applyWidthHeightFormats="0" dataCaption="Values" itemPrintTitles="1" indent="0" compact="0" compactData="0">
  <location ref="AI2:AN11" firstHeaderRow="1" firstDataRow="2" firstDataCol="1"/>
  <pivotFields count="3"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dataField="1" compact="0" outline="0" showAll="0"/>
    <pivotField dataField="1" compact="0" outline="0" showAll="0"/>
  </pivotFields>
  <rowFields count="1">
    <field x="0"/>
  </rowFields>
  <colFields count="1">
    <field x="-2"/>
  </colFields>
  <dataFields count="5">
    <dataField name="Média - Eixo 1 " fld="1" subtotal="average" baseField="0" baseItem="0" numFmtId="11"/>
    <dataField name="Média - Eixo 1 " fld="1" subtotal="average" baseField="0" baseItem="0" numFmtId="11"/>
    <dataField name="Média - Eixo 2" fld="2" subtotal="average" baseField="0" baseItem="0" numFmtId="11"/>
    <dataField name="DesvPad - Eixo 2*" fld="2" subtotal="stdDev" baseField="0" baseItem="0" numFmtId="11"/>
    <dataField name="Média - Eixo 1 " fld="1" subtotal="average" baseField="0" baseItem="0" numFmtId="11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DataPilot2" cacheId="1" applyNumberFormats="0" applyBorderFormats="0" applyFontFormats="0" applyPatternFormats="0" applyAlignmentFormats="0" applyWidthHeightFormats="0" dataCaption="Values" itemPrintTitles="1" indent="0" compact="0" compactData="0">
  <location ref="AO1:AT10" firstHeaderRow="1" firstDataRow="2" firstDataCol="1"/>
  <pivotFields count="3"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dataField="1" compact="0" outline="0" showAll="0"/>
    <pivotField dataField="1" compact="0" outline="0" showAll="0"/>
  </pivotFields>
  <rowFields count="1">
    <field x="0"/>
  </rowFields>
  <colFields count="1">
    <field x="-2"/>
  </colFields>
  <dataFields count="5">
    <dataField name="Média - Eixo 1 " fld="1" subtotal="average" baseField="0" baseItem="0"/>
    <dataField name="Média - Eixo 1 " fld="1" subtotal="average" baseField="0" baseItem="0"/>
    <dataField name="Média - Eixo 2" fld="2" subtotal="average" baseField="0" baseItem="0"/>
    <dataField name="DesvPad - Eixo 2*" fld="2" subtotal="stdDev" baseField="0" baseItem="0"/>
    <dataField name="Média - Eixo 1 " fld="1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6"/>
  <sheetViews>
    <sheetView topLeftCell="A27" zoomScaleNormal="100" workbookViewId="0">
      <selection activeCell="B22" sqref="A2:B22"/>
    </sheetView>
  </sheetViews>
  <sheetFormatPr defaultColWidth="8.76171875" defaultRowHeight="12.75" x14ac:dyDescent="0.15"/>
  <cols>
    <col min="7" max="7" width="10.3828125" customWidth="1"/>
    <col min="15" max="15" width="11.4609375" customWidth="1"/>
    <col min="16" max="16" width="11.59375" customWidth="1"/>
    <col min="19" max="19" width="7.14453125" customWidth="1"/>
    <col min="20" max="20" width="8.08984375" customWidth="1"/>
    <col min="21" max="21" width="22.7890625" customWidth="1"/>
    <col min="22" max="22" width="19.01171875" customWidth="1"/>
    <col min="23" max="23" width="21.44140625" customWidth="1"/>
    <col min="34" max="34" width="10.65234375" customWidth="1"/>
    <col min="1013" max="1015" width="11.59375" customWidth="1"/>
  </cols>
  <sheetData>
    <row r="1" spans="1:18" ht="25.5" customHeight="1" x14ac:dyDescent="0.1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/>
    </row>
    <row r="2" spans="1:18" x14ac:dyDescent="0.15">
      <c r="A2" t="s">
        <v>17</v>
      </c>
      <c r="B2" s="3" t="s">
        <v>18</v>
      </c>
      <c r="C2" s="4">
        <v>2.4979</v>
      </c>
      <c r="D2" s="4">
        <v>8.3328000000000007</v>
      </c>
      <c r="E2" s="4">
        <v>2.9338000000000002</v>
      </c>
      <c r="F2" s="4">
        <v>2.4451000000000001</v>
      </c>
      <c r="G2" s="4">
        <v>16.209599999999998</v>
      </c>
      <c r="H2" s="4">
        <v>0.15410003948277601</v>
      </c>
      <c r="I2" s="4">
        <v>0.66816577830421497</v>
      </c>
      <c r="J2" s="4">
        <v>0.180991511203238</v>
      </c>
      <c r="K2" s="4">
        <v>0.15084271049254799</v>
      </c>
      <c r="L2" s="4">
        <v>0.31892789382548797</v>
      </c>
      <c r="M2" s="4">
        <v>2.6491551191519299E-2</v>
      </c>
      <c r="N2" s="4">
        <v>0.18</v>
      </c>
      <c r="O2" s="4">
        <v>125.123</v>
      </c>
      <c r="P2" s="4">
        <v>147.77722095411499</v>
      </c>
      <c r="Q2" s="4">
        <v>0.66816577830421497</v>
      </c>
      <c r="R2" s="87"/>
    </row>
    <row r="3" spans="1:18" x14ac:dyDescent="0.15">
      <c r="A3" t="s">
        <v>17</v>
      </c>
      <c r="B3" s="3" t="s">
        <v>18</v>
      </c>
      <c r="C3" s="4">
        <v>1.6997</v>
      </c>
      <c r="D3" s="4">
        <v>5.6914999999999996</v>
      </c>
      <c r="E3" s="4">
        <v>3.3555999999999999</v>
      </c>
      <c r="F3" s="4">
        <v>2.2951000000000001</v>
      </c>
      <c r="G3" s="4">
        <v>13.0419</v>
      </c>
      <c r="H3" s="4">
        <v>0.13032610279177101</v>
      </c>
      <c r="I3" s="4">
        <v>0.56672724066278701</v>
      </c>
      <c r="J3" s="4">
        <v>0.25729379921637202</v>
      </c>
      <c r="K3" s="4">
        <v>0.17597896012084099</v>
      </c>
      <c r="L3" s="4">
        <v>0.28584242639764901</v>
      </c>
      <c r="M3" s="4">
        <v>2.43642656734771E-2</v>
      </c>
      <c r="N3" s="4">
        <v>0.14000000000000001</v>
      </c>
      <c r="O3" s="4">
        <v>90.067499999999995</v>
      </c>
      <c r="P3" s="4">
        <v>190.890187484103</v>
      </c>
      <c r="Q3" s="4">
        <v>0.56672724066278701</v>
      </c>
    </row>
    <row r="4" spans="1:18" x14ac:dyDescent="0.15">
      <c r="A4" t="s">
        <v>17</v>
      </c>
      <c r="B4" s="3" t="s">
        <v>18</v>
      </c>
      <c r="C4" s="4">
        <v>0.42309999999999998</v>
      </c>
      <c r="D4" s="4">
        <v>2.2926000000000002</v>
      </c>
      <c r="E4" s="4">
        <v>0.96619999999999995</v>
      </c>
      <c r="F4" s="4">
        <v>1.2084999999999999</v>
      </c>
      <c r="G4" s="4">
        <v>4.8903999999999996</v>
      </c>
      <c r="H4" s="4">
        <v>8.6516440372975595E-2</v>
      </c>
      <c r="I4" s="4">
        <v>0.55531244887943698</v>
      </c>
      <c r="J4" s="4">
        <v>0.197570750858825</v>
      </c>
      <c r="K4" s="4">
        <v>0.24711680026173699</v>
      </c>
      <c r="L4" s="4">
        <v>0.33920307738554201</v>
      </c>
      <c r="M4" s="4">
        <v>1.38766332063883E-2</v>
      </c>
      <c r="N4" s="4">
        <v>0.16</v>
      </c>
      <c r="O4" s="4">
        <v>72.912499999999994</v>
      </c>
      <c r="P4" s="4">
        <v>162.838788114165</v>
      </c>
      <c r="Q4" s="4">
        <v>0.55531244887943698</v>
      </c>
    </row>
    <row r="5" spans="1:18" x14ac:dyDescent="0.15">
      <c r="A5" t="s">
        <v>17</v>
      </c>
      <c r="B5" s="3" t="s">
        <v>18</v>
      </c>
      <c r="C5" s="4">
        <v>0.22159999999999999</v>
      </c>
      <c r="D5" s="4">
        <v>0.4395</v>
      </c>
      <c r="E5" s="4">
        <v>0.3513</v>
      </c>
      <c r="F5" s="4">
        <v>0.39169999999999999</v>
      </c>
      <c r="G5" s="4">
        <v>1.4040999999999999</v>
      </c>
      <c r="H5" s="4">
        <v>0.15782351684352999</v>
      </c>
      <c r="I5" s="4">
        <v>0.47083541058329198</v>
      </c>
      <c r="J5" s="4">
        <v>0.25019585499608299</v>
      </c>
      <c r="K5" s="4">
        <v>0.27896873442062498</v>
      </c>
      <c r="L5" s="4">
        <v>0.33149388325625101</v>
      </c>
      <c r="M5" s="4">
        <v>1.36975331953757E-2</v>
      </c>
      <c r="N5" s="4">
        <v>0.13</v>
      </c>
      <c r="O5" s="4">
        <v>35.894500000000001</v>
      </c>
      <c r="P5" s="4">
        <v>191.16621166453899</v>
      </c>
      <c r="Q5" s="4">
        <v>0.47083541058329198</v>
      </c>
    </row>
    <row r="6" spans="1:18" x14ac:dyDescent="0.15">
      <c r="A6" t="s">
        <v>17</v>
      </c>
      <c r="B6" s="3" t="s">
        <v>18</v>
      </c>
      <c r="C6" s="4">
        <v>8.1299999999999997E-2</v>
      </c>
      <c r="D6" s="4">
        <v>0.50619999999999998</v>
      </c>
      <c r="E6" s="4">
        <v>0.1691</v>
      </c>
      <c r="F6" s="4">
        <v>0.2</v>
      </c>
      <c r="G6" s="4">
        <v>0.95660000000000001</v>
      </c>
      <c r="H6" s="4">
        <v>8.4988500940832101E-2</v>
      </c>
      <c r="I6" s="4">
        <v>0.61415429646665298</v>
      </c>
      <c r="J6" s="4">
        <v>0.17677190048086999</v>
      </c>
      <c r="K6" s="4">
        <v>0.209073803052478</v>
      </c>
      <c r="L6" s="4">
        <v>0.356920581124958</v>
      </c>
      <c r="M6" s="4">
        <v>1.24967427329697E-2</v>
      </c>
      <c r="N6" s="4">
        <v>9.5000000000000001E-2</v>
      </c>
      <c r="O6" s="4">
        <v>17.475000000000001</v>
      </c>
      <c r="P6" s="4">
        <v>226.09505734247699</v>
      </c>
      <c r="Q6" s="4">
        <v>0.61415429646665298</v>
      </c>
    </row>
    <row r="7" spans="1:18" x14ac:dyDescent="0.15">
      <c r="A7" t="s">
        <v>17</v>
      </c>
      <c r="B7" s="3" t="s">
        <v>18</v>
      </c>
      <c r="C7" s="4">
        <v>1.5075000000000001</v>
      </c>
      <c r="D7" s="4">
        <v>7.6087999999999996</v>
      </c>
      <c r="E7" s="4">
        <v>1.9957</v>
      </c>
      <c r="F7" s="4">
        <v>3.1025</v>
      </c>
      <c r="G7" s="4">
        <v>14.214499999999999</v>
      </c>
      <c r="H7" s="4">
        <v>0.10605367758275</v>
      </c>
      <c r="I7" s="4">
        <v>0.64133807028034795</v>
      </c>
      <c r="J7" s="4">
        <v>0.140398888458968</v>
      </c>
      <c r="K7" s="4">
        <v>0.21826304126068499</v>
      </c>
      <c r="L7" s="4">
        <v>0.37858283847693103</v>
      </c>
      <c r="M7" s="4">
        <v>1.8787172433618601E-2</v>
      </c>
      <c r="N7" s="4">
        <v>0.17499999999999999</v>
      </c>
      <c r="O7" s="4">
        <v>110.66249999999999</v>
      </c>
      <c r="P7" s="4">
        <v>128.096567418208</v>
      </c>
      <c r="Q7" s="4">
        <v>0.64133807028034795</v>
      </c>
    </row>
    <row r="8" spans="1:18" x14ac:dyDescent="0.15">
      <c r="A8" t="s">
        <v>17</v>
      </c>
      <c r="B8" s="3" t="s">
        <v>18</v>
      </c>
      <c r="C8" s="4">
        <v>2.1046</v>
      </c>
      <c r="D8" s="4">
        <v>7.9565999999999999</v>
      </c>
      <c r="E8" s="4">
        <v>5.3136999999999999</v>
      </c>
      <c r="F8" s="4">
        <v>7.6456999999999997</v>
      </c>
      <c r="G8" s="4">
        <v>23.020600000000002</v>
      </c>
      <c r="H8" s="4">
        <v>9.1422465096478805E-2</v>
      </c>
      <c r="I8" s="4">
        <v>0.43705203165860101</v>
      </c>
      <c r="J8" s="4">
        <v>0.23082369703656699</v>
      </c>
      <c r="K8" s="4">
        <v>0.33212427130483102</v>
      </c>
      <c r="L8" s="4">
        <v>0.41679407407226199</v>
      </c>
      <c r="M8" s="4">
        <v>2.90524527500742E-2</v>
      </c>
      <c r="N8" s="4">
        <v>0.16500000000000001</v>
      </c>
      <c r="O8" s="4">
        <v>152.5575</v>
      </c>
      <c r="P8" s="4">
        <v>104.53888062511901</v>
      </c>
      <c r="Q8" s="4">
        <v>0.43705203165860101</v>
      </c>
    </row>
    <row r="9" spans="1:18" x14ac:dyDescent="0.15">
      <c r="A9" t="s">
        <v>17</v>
      </c>
      <c r="B9" s="3" t="s">
        <v>19</v>
      </c>
      <c r="C9" s="4">
        <v>1.3169</v>
      </c>
      <c r="D9" s="4">
        <v>2.8904000000000001</v>
      </c>
      <c r="E9" s="4">
        <v>0.60399999999999998</v>
      </c>
      <c r="F9" s="4">
        <v>2.3380000000000001</v>
      </c>
      <c r="G9" s="4">
        <v>7.1493000000000002</v>
      </c>
      <c r="H9" s="4">
        <v>0.18419985173373599</v>
      </c>
      <c r="I9" s="4">
        <v>0.58849118095477904</v>
      </c>
      <c r="J9" s="4">
        <v>8.4483795616353996E-2</v>
      </c>
      <c r="K9" s="4">
        <v>0.32702502342886702</v>
      </c>
      <c r="L9" s="4">
        <v>0.38565085062815002</v>
      </c>
      <c r="M9" s="4">
        <v>1.3183065777931499E-2</v>
      </c>
      <c r="N9" s="4">
        <v>0.17499999999999999</v>
      </c>
      <c r="O9" s="4">
        <v>66.360500000000002</v>
      </c>
      <c r="P9" s="4">
        <v>120.785210754514</v>
      </c>
      <c r="Q9" s="4">
        <v>0.58849118095477904</v>
      </c>
    </row>
    <row r="10" spans="1:18" x14ac:dyDescent="0.15">
      <c r="A10" t="s">
        <v>17</v>
      </c>
      <c r="B10" s="3" t="s">
        <v>19</v>
      </c>
      <c r="C10" s="4">
        <v>0.35</v>
      </c>
      <c r="D10" s="4">
        <v>3.5407000000000002</v>
      </c>
      <c r="E10" s="4">
        <v>1.0804</v>
      </c>
      <c r="F10" s="4">
        <v>2.8279999999999998</v>
      </c>
      <c r="G10" s="4">
        <v>7.7991000000000001</v>
      </c>
      <c r="H10" s="4">
        <v>4.4876972984062298E-2</v>
      </c>
      <c r="I10" s="4">
        <v>0.49886525368311702</v>
      </c>
      <c r="J10" s="4">
        <v>0.13852880460566</v>
      </c>
      <c r="K10" s="4">
        <v>0.36260594171122301</v>
      </c>
      <c r="L10" s="4">
        <v>0.37321961013619198</v>
      </c>
      <c r="M10" s="4">
        <v>1.68613816058805E-2</v>
      </c>
      <c r="N10" s="4">
        <v>0.125</v>
      </c>
      <c r="O10" s="4">
        <v>61.179000000000002</v>
      </c>
      <c r="P10" s="4">
        <v>165.89467351206801</v>
      </c>
      <c r="Q10" s="4">
        <v>0.49886525368311702</v>
      </c>
    </row>
    <row r="11" spans="1:18" x14ac:dyDescent="0.15">
      <c r="A11" t="s">
        <v>17</v>
      </c>
      <c r="B11" s="3" t="s">
        <v>19</v>
      </c>
      <c r="C11" s="4">
        <v>0.41339999999999999</v>
      </c>
      <c r="D11" s="4">
        <v>2.9676</v>
      </c>
      <c r="E11" s="4">
        <v>0.84909999999999997</v>
      </c>
      <c r="F11" s="4">
        <v>2.2284000000000002</v>
      </c>
      <c r="G11" s="4">
        <v>6.4584999999999999</v>
      </c>
      <c r="H11" s="4">
        <v>6.4008670743980797E-2</v>
      </c>
      <c r="I11" s="4">
        <v>0.52349616784082997</v>
      </c>
      <c r="J11" s="4">
        <v>0.131470155608887</v>
      </c>
      <c r="K11" s="4">
        <v>0.345033676550283</v>
      </c>
      <c r="L11" s="4">
        <v>0.38543550898373102</v>
      </c>
      <c r="M11" s="4">
        <v>1.37825375466818E-2</v>
      </c>
      <c r="N11" s="4">
        <v>0.14499999999999999</v>
      </c>
      <c r="O11" s="4">
        <v>65.3125</v>
      </c>
      <c r="P11" s="4">
        <v>136.74268265417601</v>
      </c>
      <c r="Q11" s="4">
        <v>0.52349616784082997</v>
      </c>
    </row>
    <row r="12" spans="1:18" x14ac:dyDescent="0.15">
      <c r="A12" t="s">
        <v>17</v>
      </c>
      <c r="B12" s="3" t="s">
        <v>19</v>
      </c>
      <c r="C12" s="4">
        <v>0.25090000000000001</v>
      </c>
      <c r="D12" s="4">
        <v>4.7423000000000002</v>
      </c>
      <c r="E12" s="4">
        <v>0.74829999999999997</v>
      </c>
      <c r="F12" s="4">
        <v>2.4599000000000002</v>
      </c>
      <c r="G12" s="4">
        <v>8.2013999999999996</v>
      </c>
      <c r="H12" s="4">
        <v>3.05923378935304E-2</v>
      </c>
      <c r="I12" s="4">
        <v>0.60882288389787098</v>
      </c>
      <c r="J12" s="4">
        <v>9.1240519911234705E-2</v>
      </c>
      <c r="K12" s="4">
        <v>0.29993659619089402</v>
      </c>
      <c r="L12" s="4">
        <v>0.39708419516838001</v>
      </c>
      <c r="M12" s="4">
        <v>1.3782875466212201E-2</v>
      </c>
      <c r="N12" s="4">
        <v>0.14000000000000001</v>
      </c>
      <c r="O12" s="4">
        <v>75.502499999999998</v>
      </c>
      <c r="P12" s="4">
        <v>147.27794315955501</v>
      </c>
      <c r="Q12" s="4">
        <v>0.60882288389787098</v>
      </c>
    </row>
    <row r="13" spans="1:18" x14ac:dyDescent="0.15">
      <c r="A13" t="s">
        <v>17</v>
      </c>
      <c r="B13" s="3" t="s">
        <v>19</v>
      </c>
      <c r="C13" s="4">
        <v>0.3266</v>
      </c>
      <c r="D13" s="4">
        <v>4.1063999999999998</v>
      </c>
      <c r="E13" s="4">
        <v>1.4467000000000001</v>
      </c>
      <c r="F13" s="4">
        <v>4.3144</v>
      </c>
      <c r="G13" s="4">
        <v>10.194100000000001</v>
      </c>
      <c r="H13" s="4">
        <v>3.2038139708262602E-2</v>
      </c>
      <c r="I13" s="4">
        <v>0.43485937944497299</v>
      </c>
      <c r="J13" s="4">
        <v>0.141915421665473</v>
      </c>
      <c r="K13" s="4">
        <v>0.42322519888955401</v>
      </c>
      <c r="L13" s="4">
        <v>0.38899395532021802</v>
      </c>
      <c r="M13" s="4">
        <v>1.7192686114596501E-2</v>
      </c>
      <c r="N13" s="4">
        <v>0.13</v>
      </c>
      <c r="O13" s="4">
        <v>99.505499999999998</v>
      </c>
      <c r="P13" s="4">
        <v>160.14623530258001</v>
      </c>
      <c r="Q13" s="4">
        <v>0.43485937944497299</v>
      </c>
    </row>
    <row r="14" spans="1:18" x14ac:dyDescent="0.15">
      <c r="A14" t="s">
        <v>17</v>
      </c>
      <c r="B14" s="3" t="s">
        <v>19</v>
      </c>
      <c r="C14" s="4">
        <v>2.5539000000000001</v>
      </c>
      <c r="D14" s="4">
        <v>3.2688999999999999</v>
      </c>
      <c r="E14" s="4">
        <v>1.4762999999999999</v>
      </c>
      <c r="F14" s="4">
        <v>3.0722</v>
      </c>
      <c r="G14" s="4">
        <v>10.3713</v>
      </c>
      <c r="H14" s="4">
        <v>0.246246854299847</v>
      </c>
      <c r="I14" s="4">
        <v>0.56143395717026801</v>
      </c>
      <c r="J14" s="4">
        <v>0.14234473981082399</v>
      </c>
      <c r="K14" s="4">
        <v>0.29622130301890798</v>
      </c>
      <c r="L14" s="4">
        <v>0.29364693813005199</v>
      </c>
      <c r="M14" s="4">
        <v>1.9758262722297901E-2</v>
      </c>
      <c r="N14" s="4">
        <v>0.125</v>
      </c>
      <c r="O14" s="4">
        <v>61.332999999999998</v>
      </c>
      <c r="P14" s="4">
        <v>229.460676353433</v>
      </c>
      <c r="Q14" s="4">
        <v>0.56143395717026801</v>
      </c>
    </row>
    <row r="15" spans="1:18" x14ac:dyDescent="0.15">
      <c r="A15" t="s">
        <v>17</v>
      </c>
      <c r="B15" s="3" t="s">
        <v>19</v>
      </c>
      <c r="C15" s="4">
        <v>2.5487000000000002</v>
      </c>
      <c r="D15" s="4">
        <v>11.384499999999999</v>
      </c>
      <c r="E15" s="4">
        <v>3.5960000000000001</v>
      </c>
      <c r="F15" s="4">
        <v>7.2695999999999996</v>
      </c>
      <c r="G15" s="4">
        <v>24.7988</v>
      </c>
      <c r="H15" s="4">
        <v>0.102775134280691</v>
      </c>
      <c r="I15" s="4">
        <v>0.56184976692420596</v>
      </c>
      <c r="J15" s="4">
        <v>0.145007016468539</v>
      </c>
      <c r="K15" s="4">
        <v>0.29314321660725501</v>
      </c>
      <c r="L15" s="4">
        <v>0.37742157085580802</v>
      </c>
      <c r="M15" s="4">
        <v>2.0681528708288301E-2</v>
      </c>
      <c r="N15" s="4">
        <v>0.16</v>
      </c>
      <c r="O15" s="4">
        <v>126.34099999999999</v>
      </c>
      <c r="P15" s="4">
        <v>130.99551852789901</v>
      </c>
      <c r="Q15" s="4">
        <v>0.56184976692420596</v>
      </c>
    </row>
    <row r="16" spans="1:18" x14ac:dyDescent="0.15">
      <c r="A16" t="s">
        <v>17</v>
      </c>
      <c r="B16" s="3" t="s">
        <v>20</v>
      </c>
      <c r="C16" s="4">
        <v>0.58950000000000002</v>
      </c>
      <c r="D16" s="4">
        <v>5.0347</v>
      </c>
      <c r="E16" s="4">
        <v>2.1084999999999998</v>
      </c>
      <c r="F16" s="4">
        <v>7.0336999999999996</v>
      </c>
      <c r="G16" s="4">
        <v>14.766400000000001</v>
      </c>
      <c r="H16" s="4">
        <v>3.9921714161880999E-2</v>
      </c>
      <c r="I16" s="4">
        <v>0.38087820999024802</v>
      </c>
      <c r="J16" s="4">
        <v>0.14279038899122301</v>
      </c>
      <c r="K16" s="4">
        <v>0.476331401018529</v>
      </c>
      <c r="L16" s="4">
        <v>0.48044479473588902</v>
      </c>
      <c r="M16" s="4">
        <v>1.8780527052052701E-2</v>
      </c>
      <c r="N16" s="4">
        <v>0.22500000000000001</v>
      </c>
      <c r="O16" s="4">
        <v>122.8775</v>
      </c>
      <c r="P16" s="4">
        <v>113.027242554635</v>
      </c>
      <c r="Q16" s="4">
        <v>0.38087820999024802</v>
      </c>
    </row>
    <row r="17" spans="1:17" x14ac:dyDescent="0.15">
      <c r="A17" t="s">
        <v>17</v>
      </c>
      <c r="B17" s="3" t="s">
        <v>20</v>
      </c>
      <c r="C17" s="4">
        <v>0.77329999999999999</v>
      </c>
      <c r="D17" s="4">
        <v>8.1286000000000005</v>
      </c>
      <c r="E17" s="4">
        <v>2.2462</v>
      </c>
      <c r="F17" s="4">
        <v>4.556</v>
      </c>
      <c r="G17" s="4">
        <v>15.7041</v>
      </c>
      <c r="H17" s="4">
        <v>4.9241917715755798E-2</v>
      </c>
      <c r="I17" s="4">
        <v>0.56685196859418896</v>
      </c>
      <c r="J17" s="4">
        <v>0.143032711202807</v>
      </c>
      <c r="K17" s="4">
        <v>0.29011532020300401</v>
      </c>
      <c r="L17" s="4">
        <v>0.43316850559042103</v>
      </c>
      <c r="M17" s="4">
        <v>1.5721924671835301E-2</v>
      </c>
      <c r="N17" s="4">
        <v>0.18</v>
      </c>
      <c r="O17" s="4">
        <v>116.9325</v>
      </c>
      <c r="P17" s="4">
        <v>134.012410425247</v>
      </c>
      <c r="Q17" s="4">
        <v>0.56685196859418896</v>
      </c>
    </row>
    <row r="18" spans="1:17" x14ac:dyDescent="0.15">
      <c r="A18" t="s">
        <v>17</v>
      </c>
      <c r="B18" s="3" t="s">
        <v>20</v>
      </c>
      <c r="C18" s="4">
        <v>0.52890000000000004</v>
      </c>
      <c r="D18" s="4">
        <v>6.0185000000000004</v>
      </c>
      <c r="E18" s="4">
        <v>2.2694000000000001</v>
      </c>
      <c r="F18" s="4">
        <v>5.7123999999999997</v>
      </c>
      <c r="G18" s="4">
        <v>14.529199999999999</v>
      </c>
      <c r="H18" s="4">
        <v>3.6402554855050499E-2</v>
      </c>
      <c r="I18" s="4">
        <v>0.45063733722434801</v>
      </c>
      <c r="J18" s="4">
        <v>0.15619579880516499</v>
      </c>
      <c r="K18" s="4">
        <v>0.393166863970487</v>
      </c>
      <c r="L18" s="4">
        <v>0.47400729678716602</v>
      </c>
      <c r="M18" s="4">
        <v>1.7397955478163401E-2</v>
      </c>
      <c r="N18" s="4">
        <v>0.22500000000000001</v>
      </c>
      <c r="O18" s="4">
        <v>107.61</v>
      </c>
      <c r="P18" s="4">
        <v>99.199703600094395</v>
      </c>
      <c r="Q18" s="4">
        <v>0.45063733722434801</v>
      </c>
    </row>
    <row r="19" spans="1:17" x14ac:dyDescent="0.15">
      <c r="A19" t="s">
        <v>17</v>
      </c>
      <c r="B19" s="3" t="s">
        <v>20</v>
      </c>
      <c r="C19" s="4">
        <v>0.56720000000000004</v>
      </c>
      <c r="D19" s="4">
        <v>6.7725</v>
      </c>
      <c r="E19" s="4">
        <v>1.6052</v>
      </c>
      <c r="F19" s="4">
        <v>4.3978999999999999</v>
      </c>
      <c r="G19" s="4">
        <v>13.3428</v>
      </c>
      <c r="H19" s="4">
        <v>4.2509818029199301E-2</v>
      </c>
      <c r="I19" s="4">
        <v>0.55008693827382504</v>
      </c>
      <c r="J19" s="4">
        <v>0.120304583745541</v>
      </c>
      <c r="K19" s="4">
        <v>0.32960847798063397</v>
      </c>
      <c r="L19" s="4">
        <v>0.44864210393875698</v>
      </c>
      <c r="M19" s="4">
        <v>2.1719937505720599E-2</v>
      </c>
      <c r="N19" s="4">
        <v>0.21</v>
      </c>
      <c r="O19" s="4">
        <v>106.10299999999999</v>
      </c>
      <c r="P19" s="4">
        <v>115.254269038369</v>
      </c>
      <c r="Q19" s="4">
        <v>0.55008693827382504</v>
      </c>
    </row>
    <row r="20" spans="1:17" x14ac:dyDescent="0.15">
      <c r="A20" t="s">
        <v>17</v>
      </c>
      <c r="B20" s="3" t="s">
        <v>20</v>
      </c>
      <c r="C20" s="4">
        <v>1.5065</v>
      </c>
      <c r="D20" s="4">
        <v>12.579599999999999</v>
      </c>
      <c r="E20" s="4">
        <v>5.0979999999999999</v>
      </c>
      <c r="F20" s="4">
        <v>7.5698999999999996</v>
      </c>
      <c r="G20" s="4">
        <v>26.754000000000001</v>
      </c>
      <c r="H20" s="4">
        <v>5.6309336921581798E-2</v>
      </c>
      <c r="I20" s="4">
        <v>0.52650444793301898</v>
      </c>
      <c r="J20" s="4">
        <v>0.190550945652986</v>
      </c>
      <c r="K20" s="4">
        <v>0.28294460641399399</v>
      </c>
      <c r="L20" s="4">
        <v>0.39777978336924402</v>
      </c>
      <c r="M20" s="4">
        <v>2.58835691535674E-2</v>
      </c>
      <c r="N20" s="4">
        <v>0.20499999999999999</v>
      </c>
      <c r="O20" s="4">
        <v>137.1755</v>
      </c>
      <c r="P20" s="4">
        <v>130.95243077800799</v>
      </c>
      <c r="Q20" s="4">
        <v>0.52650444793301898</v>
      </c>
    </row>
    <row r="21" spans="1:17" x14ac:dyDescent="0.15">
      <c r="A21" t="s">
        <v>17</v>
      </c>
      <c r="B21" s="3" t="s">
        <v>20</v>
      </c>
      <c r="C21" s="4">
        <v>0.54559999999999997</v>
      </c>
      <c r="D21" s="4">
        <v>9.3515999999999995</v>
      </c>
      <c r="E21" s="4">
        <v>2.8330000000000002</v>
      </c>
      <c r="F21" s="4">
        <v>5.1580000000000004</v>
      </c>
      <c r="G21" s="4">
        <v>17.888200000000001</v>
      </c>
      <c r="H21" s="4">
        <v>3.0500553437461601E-2</v>
      </c>
      <c r="I21" s="4">
        <v>0.55328093379993504</v>
      </c>
      <c r="J21" s="4">
        <v>0.15837255844635001</v>
      </c>
      <c r="K21" s="4">
        <v>0.28834650775371501</v>
      </c>
      <c r="L21" s="4">
        <v>0.42882613234123002</v>
      </c>
      <c r="M21" s="4">
        <v>2.09979324328383E-2</v>
      </c>
      <c r="N21" s="4">
        <v>0.2</v>
      </c>
      <c r="O21" s="4">
        <v>104.8275</v>
      </c>
      <c r="P21" s="4">
        <v>129.21538070390099</v>
      </c>
      <c r="Q21" s="4">
        <v>0.55328093379993504</v>
      </c>
    </row>
    <row r="22" spans="1:17" x14ac:dyDescent="0.15">
      <c r="A22" t="s">
        <v>17</v>
      </c>
      <c r="B22" s="3" t="s">
        <v>20</v>
      </c>
      <c r="C22" s="4">
        <v>0.60570000000000002</v>
      </c>
      <c r="D22" s="4">
        <v>7.7419000000000002</v>
      </c>
      <c r="E22" s="4">
        <v>1.357</v>
      </c>
      <c r="F22" s="4">
        <v>3.5781000000000001</v>
      </c>
      <c r="G22" s="4">
        <v>13.2827</v>
      </c>
      <c r="H22" s="4">
        <v>4.5600668538776E-2</v>
      </c>
      <c r="I22" s="4">
        <v>0.62845656380103398</v>
      </c>
      <c r="J22" s="4">
        <v>0.10216296385524</v>
      </c>
      <c r="K22" s="4">
        <v>0.26938047234372497</v>
      </c>
      <c r="L22" s="4">
        <v>0.41130714868770402</v>
      </c>
      <c r="M22" s="4">
        <v>1.38607655745924E-2</v>
      </c>
      <c r="N22" s="4">
        <v>0.17499999999999999</v>
      </c>
      <c r="O22" s="4">
        <v>82.723500000000001</v>
      </c>
      <c r="P22" s="4">
        <v>140.37342943649099</v>
      </c>
      <c r="Q22" s="4">
        <v>0.62845656380103398</v>
      </c>
    </row>
    <row r="23" spans="1:17" x14ac:dyDescent="0.15">
      <c r="A23" t="s">
        <v>17</v>
      </c>
      <c r="B23" s="3" t="s">
        <v>21</v>
      </c>
      <c r="C23" s="4">
        <v>1.0449999999999999</v>
      </c>
      <c r="D23" s="4">
        <v>21.3752</v>
      </c>
      <c r="E23" s="4">
        <v>5.7949000000000002</v>
      </c>
      <c r="F23" s="4">
        <v>8.3042999999999996</v>
      </c>
      <c r="G23" s="4">
        <v>36.519399999999997</v>
      </c>
      <c r="H23" s="4">
        <f t="shared" ref="H23:H29" si="0">C23/G23</f>
        <v>2.8614927956100045E-2</v>
      </c>
      <c r="I23" s="4">
        <f t="shared" ref="I23:I29" si="1">D23/G23</f>
        <v>0.5853108210978275</v>
      </c>
      <c r="J23" s="4">
        <f t="shared" ref="J23:J29" si="2">E23/G23</f>
        <v>0.15868004403139155</v>
      </c>
      <c r="K23" s="4">
        <f t="shared" ref="K23:K29" si="3">F23/G23</f>
        <v>0.22739420691468096</v>
      </c>
      <c r="L23" s="4">
        <v>0.39679792175747403</v>
      </c>
      <c r="M23" s="4">
        <v>2.9066370441273599E-2</v>
      </c>
      <c r="N23" s="4">
        <v>0.23</v>
      </c>
      <c r="O23" s="4">
        <v>75.822500000000005</v>
      </c>
      <c r="P23" s="4">
        <v>89.548220341672405</v>
      </c>
      <c r="Q23" s="4">
        <v>0.61392574905392805</v>
      </c>
    </row>
    <row r="24" spans="1:17" x14ac:dyDescent="0.15">
      <c r="A24" t="s">
        <v>17</v>
      </c>
      <c r="B24" s="3" t="s">
        <v>21</v>
      </c>
      <c r="C24" s="4">
        <v>1.0939000000000001</v>
      </c>
      <c r="D24" s="4">
        <v>17.149699999999999</v>
      </c>
      <c r="E24" s="4">
        <v>2.2915999999999999</v>
      </c>
      <c r="F24" s="4">
        <v>4.2618999999999998</v>
      </c>
      <c r="G24" s="4">
        <v>24.7971</v>
      </c>
      <c r="H24" s="4">
        <f t="shared" si="0"/>
        <v>4.4114029463122706E-2</v>
      </c>
      <c r="I24" s="4">
        <f t="shared" si="1"/>
        <v>0.691601033991878</v>
      </c>
      <c r="J24" s="4">
        <f t="shared" si="2"/>
        <v>9.241403228603344E-2</v>
      </c>
      <c r="K24" s="4">
        <f t="shared" si="3"/>
        <v>0.17187090425896576</v>
      </c>
      <c r="L24" s="4">
        <v>0.34123651148592499</v>
      </c>
      <c r="M24" s="4">
        <v>2.3959827443987902E-2</v>
      </c>
      <c r="N24" s="4">
        <v>0.22</v>
      </c>
      <c r="O24" s="4">
        <v>50.969000000000001</v>
      </c>
      <c r="P24" s="4">
        <v>101.487992789825</v>
      </c>
      <c r="Q24" s="4">
        <v>0.73571506345500104</v>
      </c>
    </row>
    <row r="25" spans="1:17" x14ac:dyDescent="0.15">
      <c r="A25" t="s">
        <v>17</v>
      </c>
      <c r="B25" s="3" t="s">
        <v>21</v>
      </c>
      <c r="C25" s="4">
        <v>2.4024999999999999</v>
      </c>
      <c r="D25" s="4">
        <v>16.246700000000001</v>
      </c>
      <c r="E25" s="4">
        <v>4.2031999999999998</v>
      </c>
      <c r="F25" s="4">
        <v>7.4694000000000003</v>
      </c>
      <c r="G25" s="4">
        <v>30.3218</v>
      </c>
      <c r="H25" s="4">
        <f t="shared" si="0"/>
        <v>7.9233422817906587E-2</v>
      </c>
      <c r="I25" s="4">
        <f t="shared" si="1"/>
        <v>0.53580921976927498</v>
      </c>
      <c r="J25" s="4">
        <f t="shared" si="2"/>
        <v>0.13861973893370447</v>
      </c>
      <c r="K25" s="4">
        <f t="shared" si="3"/>
        <v>0.24633761847911406</v>
      </c>
      <c r="L25" s="4">
        <v>0.37710278381420698</v>
      </c>
      <c r="M25" s="4">
        <v>3.18083010854181E-2</v>
      </c>
      <c r="N25" s="4">
        <v>0.22</v>
      </c>
      <c r="O25" s="4">
        <v>81.811000000000007</v>
      </c>
      <c r="P25" s="4">
        <v>100.28087603864</v>
      </c>
      <c r="Q25" s="4">
        <v>0.615042642587182</v>
      </c>
    </row>
    <row r="26" spans="1:17" x14ac:dyDescent="0.15">
      <c r="A26" t="s">
        <v>17</v>
      </c>
      <c r="B26" s="3" t="s">
        <v>21</v>
      </c>
      <c r="C26" s="4">
        <v>1.2296</v>
      </c>
      <c r="D26" s="4">
        <v>18.514099999999999</v>
      </c>
      <c r="E26" s="4">
        <v>2.2970000000000002</v>
      </c>
      <c r="F26" s="4">
        <v>4.9088000000000003</v>
      </c>
      <c r="G26" s="4">
        <v>26.9495</v>
      </c>
      <c r="H26" s="4">
        <f t="shared" si="0"/>
        <v>4.5626078405907343E-2</v>
      </c>
      <c r="I26" s="4">
        <f t="shared" si="1"/>
        <v>0.68699233752017663</v>
      </c>
      <c r="J26" s="4">
        <f t="shared" si="2"/>
        <v>8.5233492272583908E-2</v>
      </c>
      <c r="K26" s="4">
        <f t="shared" si="3"/>
        <v>0.18214809180133212</v>
      </c>
      <c r="L26" s="4">
        <v>0.40048500520813102</v>
      </c>
      <c r="M26" s="4">
        <v>2.6840995137592E-2</v>
      </c>
      <c r="N26" s="4">
        <v>0.2</v>
      </c>
      <c r="O26" s="4">
        <v>105.2865</v>
      </c>
      <c r="P26" s="4">
        <v>109.269543451584</v>
      </c>
      <c r="Q26" s="4">
        <v>0.73261841592608401</v>
      </c>
    </row>
    <row r="27" spans="1:17" x14ac:dyDescent="0.15">
      <c r="A27" t="s">
        <v>17</v>
      </c>
      <c r="B27" s="3" t="s">
        <v>21</v>
      </c>
      <c r="C27" s="4">
        <v>1.3917999999999999</v>
      </c>
      <c r="D27" s="4">
        <v>13.9093</v>
      </c>
      <c r="E27" s="4">
        <v>2.2867999999999999</v>
      </c>
      <c r="F27" s="4">
        <v>5.2081</v>
      </c>
      <c r="G27" s="4">
        <v>22.795999999999999</v>
      </c>
      <c r="H27" s="4">
        <f t="shared" si="0"/>
        <v>6.1054570977364449E-2</v>
      </c>
      <c r="I27" s="4">
        <f t="shared" si="1"/>
        <v>0.61016406387085453</v>
      </c>
      <c r="J27" s="4">
        <f t="shared" si="2"/>
        <v>0.10031584488506756</v>
      </c>
      <c r="K27" s="4">
        <f t="shared" si="3"/>
        <v>0.22846552026671346</v>
      </c>
      <c r="L27" s="4">
        <v>0.42259282911095603</v>
      </c>
      <c r="M27" s="4">
        <v>2.7668043074012501E-2</v>
      </c>
      <c r="N27" s="4">
        <v>0.2</v>
      </c>
      <c r="O27" s="4">
        <v>64.132499999999993</v>
      </c>
      <c r="P27" s="4">
        <v>107.45539424963501</v>
      </c>
      <c r="Q27" s="4">
        <v>0.67121863484821898</v>
      </c>
    </row>
    <row r="28" spans="1:17" x14ac:dyDescent="0.15">
      <c r="A28" t="s">
        <v>17</v>
      </c>
      <c r="B28" s="3" t="s">
        <v>21</v>
      </c>
      <c r="C28" s="4">
        <v>1.2685999999999999</v>
      </c>
      <c r="D28" s="4">
        <v>13.709199999999999</v>
      </c>
      <c r="E28" s="4">
        <v>2.0148000000000001</v>
      </c>
      <c r="F28" s="4">
        <v>4.9452999999999996</v>
      </c>
      <c r="G28" s="4">
        <v>21.937899999999999</v>
      </c>
      <c r="H28" s="4">
        <f t="shared" si="0"/>
        <v>5.7826865834924947E-2</v>
      </c>
      <c r="I28" s="4">
        <f t="shared" si="1"/>
        <v>0.62490940336130618</v>
      </c>
      <c r="J28" s="4">
        <f t="shared" si="2"/>
        <v>9.1841060447900677E-2</v>
      </c>
      <c r="K28" s="4">
        <f t="shared" si="3"/>
        <v>0.22542267035586813</v>
      </c>
      <c r="L28" s="4">
        <v>0.40312090867744499</v>
      </c>
      <c r="M28" s="4">
        <v>2.7656199209449901E-2</v>
      </c>
      <c r="N28" s="4">
        <v>0.21</v>
      </c>
      <c r="O28" s="4">
        <v>66.265000000000001</v>
      </c>
      <c r="P28" s="4">
        <v>94.120198822567502</v>
      </c>
      <c r="Q28" s="4">
        <v>0.68273626919623098</v>
      </c>
    </row>
    <row r="29" spans="1:17" x14ac:dyDescent="0.15">
      <c r="A29" t="s">
        <v>17</v>
      </c>
      <c r="B29" s="3" t="s">
        <v>21</v>
      </c>
      <c r="C29" s="4">
        <v>1.0815999999999999</v>
      </c>
      <c r="D29" s="4">
        <v>7.7721</v>
      </c>
      <c r="E29" s="4">
        <v>2.1943000000000001</v>
      </c>
      <c r="F29" s="4">
        <v>3.2431000000000001</v>
      </c>
      <c r="G29" s="4">
        <v>14.2911</v>
      </c>
      <c r="H29" s="4">
        <f t="shared" si="0"/>
        <v>7.5683467332815516E-2</v>
      </c>
      <c r="I29" s="4">
        <f t="shared" si="1"/>
        <v>0.54384197157671554</v>
      </c>
      <c r="J29" s="4">
        <f t="shared" si="2"/>
        <v>0.15354311424592929</v>
      </c>
      <c r="K29" s="4">
        <f t="shared" si="3"/>
        <v>0.22693144684453961</v>
      </c>
      <c r="L29" s="4">
        <v>0.41284459657873501</v>
      </c>
      <c r="M29" s="4">
        <v>2.1521534584536501E-2</v>
      </c>
      <c r="N29" s="4">
        <v>0.19500000000000001</v>
      </c>
      <c r="O29" s="4">
        <v>54.948999999999998</v>
      </c>
      <c r="P29" s="4">
        <v>105.48775985099201</v>
      </c>
      <c r="Q29" s="4">
        <v>0.61952543890953105</v>
      </c>
    </row>
    <row r="30" spans="1:17" x14ac:dyDescent="0.15">
      <c r="A30" t="s">
        <v>17</v>
      </c>
      <c r="B30" s="3" t="s">
        <v>22</v>
      </c>
      <c r="C30" s="4">
        <v>3.5840000000000001</v>
      </c>
      <c r="D30" s="4">
        <v>11.9544</v>
      </c>
      <c r="E30" s="4">
        <v>7.3352000000000004</v>
      </c>
      <c r="F30" s="4">
        <v>11.8904</v>
      </c>
      <c r="G30" s="4">
        <v>34.764000000000003</v>
      </c>
      <c r="H30" s="4">
        <v>0.10309515590841099</v>
      </c>
      <c r="I30" s="4">
        <v>0.44696812794845198</v>
      </c>
      <c r="J30" s="4">
        <v>0.21099988493844199</v>
      </c>
      <c r="K30" s="4">
        <v>0.34203198711310501</v>
      </c>
      <c r="L30" s="4">
        <v>0.40638681900261298</v>
      </c>
      <c r="M30" s="4">
        <v>2.79118549085597E-2</v>
      </c>
      <c r="N30" s="4">
        <v>0.21</v>
      </c>
      <c r="O30" s="4">
        <v>31.517499999999998</v>
      </c>
      <c r="P30" s="4">
        <v>22.490211129078901</v>
      </c>
      <c r="Q30" s="4">
        <v>0.44696812794845198</v>
      </c>
    </row>
    <row r="31" spans="1:17" x14ac:dyDescent="0.15">
      <c r="A31" t="s">
        <v>17</v>
      </c>
      <c r="B31" s="3" t="s">
        <v>22</v>
      </c>
      <c r="C31" s="4">
        <v>3.2492000000000001</v>
      </c>
      <c r="D31" s="4">
        <v>16.110600000000002</v>
      </c>
      <c r="E31" s="4">
        <v>8.5864999999999991</v>
      </c>
      <c r="F31" s="4">
        <v>12.0839</v>
      </c>
      <c r="G31" s="4">
        <v>40.030200000000001</v>
      </c>
      <c r="H31" s="4">
        <v>8.1168717618198299E-2</v>
      </c>
      <c r="I31" s="4">
        <v>0.48362985945611098</v>
      </c>
      <c r="J31" s="4">
        <v>0.214500552083177</v>
      </c>
      <c r="K31" s="4">
        <v>0.30186958846071199</v>
      </c>
      <c r="L31" s="4">
        <v>0.49442651155635697</v>
      </c>
      <c r="M31" s="4">
        <v>2.70343811474093E-2</v>
      </c>
      <c r="N31" s="4">
        <v>0.13</v>
      </c>
      <c r="O31" s="4">
        <v>27.2805</v>
      </c>
      <c r="P31" s="4">
        <v>28.373145460975401</v>
      </c>
      <c r="Q31" s="4">
        <v>0.48362985945611098</v>
      </c>
    </row>
    <row r="32" spans="1:17" x14ac:dyDescent="0.15">
      <c r="A32" t="s">
        <v>17</v>
      </c>
      <c r="B32" s="3" t="s">
        <v>22</v>
      </c>
      <c r="C32" s="4">
        <v>3.4758</v>
      </c>
      <c r="D32" s="4">
        <v>11.0627</v>
      </c>
      <c r="E32" s="4">
        <v>4.1938000000000004</v>
      </c>
      <c r="F32" s="4">
        <v>6.7984</v>
      </c>
      <c r="G32" s="4">
        <v>25.5307</v>
      </c>
      <c r="H32" s="4">
        <v>0.13614197808912401</v>
      </c>
      <c r="I32" s="4">
        <v>0.56945167974242805</v>
      </c>
      <c r="J32" s="4">
        <v>0.16426498294210501</v>
      </c>
      <c r="K32" s="4">
        <v>0.26628333731546699</v>
      </c>
      <c r="L32" s="4">
        <v>0.45825348430540602</v>
      </c>
      <c r="M32" s="4">
        <v>2.79867727040044E-2</v>
      </c>
      <c r="N32" s="4">
        <v>0.19500000000000001</v>
      </c>
      <c r="O32" s="4">
        <v>54.773499999999999</v>
      </c>
      <c r="P32" s="4">
        <v>64.5542656072829</v>
      </c>
      <c r="Q32" s="4">
        <v>0.56945167974242805</v>
      </c>
    </row>
    <row r="33" spans="1:17" x14ac:dyDescent="0.15">
      <c r="A33" t="s">
        <v>17</v>
      </c>
      <c r="B33" s="3" t="s">
        <v>22</v>
      </c>
      <c r="C33" s="4">
        <v>6.1875999999999998</v>
      </c>
      <c r="D33" s="4">
        <v>43.0229</v>
      </c>
      <c r="E33" s="4">
        <v>8.8368000000000002</v>
      </c>
      <c r="F33" s="4">
        <v>10.803900000000001</v>
      </c>
      <c r="G33" s="4">
        <v>68.851200000000006</v>
      </c>
      <c r="H33" s="4">
        <v>8.9869167131437097E-2</v>
      </c>
      <c r="I33" s="4">
        <v>0.71473699804796398</v>
      </c>
      <c r="J33" s="4">
        <v>0.12834634690462901</v>
      </c>
      <c r="K33" s="4">
        <v>0.15691665504740701</v>
      </c>
      <c r="L33" s="4">
        <v>0.44062663023203702</v>
      </c>
      <c r="M33" s="4">
        <v>2.23841308770973E-2</v>
      </c>
      <c r="N33" s="4">
        <v>0.22</v>
      </c>
      <c r="O33" s="4">
        <v>37.670999999999999</v>
      </c>
      <c r="P33" s="4">
        <v>29.0813825367484</v>
      </c>
      <c r="Q33" s="4">
        <v>0.71473699804796398</v>
      </c>
    </row>
    <row r="34" spans="1:17" x14ac:dyDescent="0.15">
      <c r="A34" t="s">
        <v>17</v>
      </c>
      <c r="B34" s="3" t="s">
        <v>22</v>
      </c>
      <c r="C34" s="4">
        <v>6.3708999999999998</v>
      </c>
      <c r="D34" s="4">
        <v>24.8949</v>
      </c>
      <c r="E34" s="4">
        <v>8.6875999999999998</v>
      </c>
      <c r="F34" s="4">
        <v>11.2156</v>
      </c>
      <c r="G34" s="4">
        <v>51.168999999999997</v>
      </c>
      <c r="H34" s="4">
        <v>0.12450702573824</v>
      </c>
      <c r="I34" s="4">
        <v>0.61103011589048095</v>
      </c>
      <c r="J34" s="4">
        <v>0.169782485489261</v>
      </c>
      <c r="K34" s="4">
        <v>0.21918739862025799</v>
      </c>
      <c r="L34" s="4">
        <v>0.47239567090353501</v>
      </c>
      <c r="M34" s="4">
        <v>2.8927407221165199E-2</v>
      </c>
      <c r="N34" s="4">
        <v>0.17499999999999999</v>
      </c>
      <c r="O34" s="4">
        <v>83.145499999999998</v>
      </c>
      <c r="P34" s="4">
        <v>105.755044159907</v>
      </c>
      <c r="Q34" s="4">
        <v>0.61103011589048095</v>
      </c>
    </row>
    <row r="35" spans="1:17" x14ac:dyDescent="0.15">
      <c r="A35" t="s">
        <v>17</v>
      </c>
      <c r="B35" s="3" t="s">
        <v>22</v>
      </c>
      <c r="C35" s="4">
        <v>4.2873000000000001</v>
      </c>
      <c r="D35" s="4">
        <v>25.552099999999999</v>
      </c>
      <c r="E35" s="4">
        <v>14.049200000000001</v>
      </c>
      <c r="F35" s="4">
        <v>17.0657</v>
      </c>
      <c r="G35" s="4">
        <v>60.954300000000003</v>
      </c>
      <c r="H35" s="4">
        <v>7.0336301130519099E-2</v>
      </c>
      <c r="I35" s="4">
        <v>0.48953724347584998</v>
      </c>
      <c r="J35" s="4">
        <v>0.23048743074729799</v>
      </c>
      <c r="K35" s="4">
        <v>0.27997532577685202</v>
      </c>
      <c r="L35" s="4">
        <v>0.47632392741087198</v>
      </c>
      <c r="M35" s="4">
        <v>3.1233467701699099E-2</v>
      </c>
      <c r="N35" s="4">
        <v>0.20499999999999999</v>
      </c>
      <c r="O35" s="4">
        <v>80.447500000000005</v>
      </c>
      <c r="P35" s="4">
        <v>73.159897368218495</v>
      </c>
      <c r="Q35" s="4">
        <v>0.48953724347584998</v>
      </c>
    </row>
    <row r="36" spans="1:17" x14ac:dyDescent="0.15">
      <c r="A36" t="s">
        <v>17</v>
      </c>
      <c r="B36" s="3" t="s">
        <v>22</v>
      </c>
      <c r="C36" s="4">
        <v>2.7637999999999998</v>
      </c>
      <c r="D36" s="4">
        <v>19.473700000000001</v>
      </c>
      <c r="E36" s="4">
        <v>6.0720000000000001</v>
      </c>
      <c r="F36" s="4">
        <v>10.1157</v>
      </c>
      <c r="G36" s="4">
        <v>38.425199999999997</v>
      </c>
      <c r="H36" s="4">
        <v>7.1926756399446207E-2</v>
      </c>
      <c r="I36" s="4">
        <v>0.57872177633428101</v>
      </c>
      <c r="J36" s="4">
        <v>0.15802129852284399</v>
      </c>
      <c r="K36" s="4">
        <v>0.26325692514287502</v>
      </c>
      <c r="L36" s="4">
        <v>0.45068402634636201</v>
      </c>
      <c r="M36" s="4">
        <v>2.8470441019405001E-2</v>
      </c>
      <c r="N36" s="4">
        <v>0.19</v>
      </c>
      <c r="O36" s="4">
        <v>91.412999999999997</v>
      </c>
      <c r="P36" s="4">
        <v>87.071868871707494</v>
      </c>
      <c r="Q36" s="4">
        <v>0.57872177633428101</v>
      </c>
    </row>
    <row r="37" spans="1:17" x14ac:dyDescent="0.15">
      <c r="A37" t="s">
        <v>17</v>
      </c>
      <c r="B37" s="3" t="s">
        <v>23</v>
      </c>
      <c r="C37" s="4">
        <v>9.3975000000000009</v>
      </c>
      <c r="D37" s="4">
        <v>30.584900000000001</v>
      </c>
      <c r="E37" s="4">
        <v>7.5833000000000004</v>
      </c>
      <c r="F37" s="4">
        <v>13.6289</v>
      </c>
      <c r="G37" s="4">
        <v>61.194600000000001</v>
      </c>
      <c r="H37" s="4">
        <v>0.15356747163965401</v>
      </c>
      <c r="I37" s="4">
        <v>0.653364839381253</v>
      </c>
      <c r="J37" s="4">
        <v>0.123921064930566</v>
      </c>
      <c r="K37" s="4">
        <v>0.22271409568818201</v>
      </c>
      <c r="L37" s="4">
        <v>0.453368951539806</v>
      </c>
      <c r="M37" s="4">
        <v>2.8310830073421299E-2</v>
      </c>
      <c r="N37" s="4">
        <v>0.27</v>
      </c>
      <c r="O37" s="4">
        <v>111.37949999999999</v>
      </c>
      <c r="P37" s="4">
        <v>90.082524858743696</v>
      </c>
      <c r="Q37" s="4">
        <v>0.653364839381253</v>
      </c>
    </row>
    <row r="38" spans="1:17" x14ac:dyDescent="0.15">
      <c r="A38" t="s">
        <v>17</v>
      </c>
      <c r="B38" s="3" t="s">
        <v>23</v>
      </c>
      <c r="C38" s="4">
        <v>7.0475000000000003</v>
      </c>
      <c r="D38" s="4">
        <v>25.7546</v>
      </c>
      <c r="E38" s="4">
        <v>3.5478000000000001</v>
      </c>
      <c r="F38" s="4">
        <v>6.3335999999999997</v>
      </c>
      <c r="G38" s="4">
        <v>42.683500000000002</v>
      </c>
      <c r="H38" s="4">
        <v>0.16511063994283501</v>
      </c>
      <c r="I38" s="4">
        <v>0.76849602305340503</v>
      </c>
      <c r="J38" s="4">
        <v>8.3118769547951804E-2</v>
      </c>
      <c r="K38" s="4">
        <v>0.148385207398643</v>
      </c>
      <c r="L38" s="4">
        <v>0.45141345062075999</v>
      </c>
      <c r="M38" s="4">
        <v>1.83630007943788E-2</v>
      </c>
      <c r="N38" s="4">
        <v>0.21</v>
      </c>
      <c r="O38" s="4">
        <v>89.222999999999999</v>
      </c>
      <c r="P38" s="4">
        <v>92.7788584887452</v>
      </c>
      <c r="Q38" s="4">
        <v>0.76849602305340503</v>
      </c>
    </row>
    <row r="39" spans="1:17" x14ac:dyDescent="0.15">
      <c r="A39" t="s">
        <v>17</v>
      </c>
      <c r="B39" s="3" t="s">
        <v>23</v>
      </c>
      <c r="C39" s="4">
        <v>3.8877000000000002</v>
      </c>
      <c r="D39" s="4">
        <v>25.567900000000002</v>
      </c>
      <c r="E39" s="4">
        <v>9.9787999999999997</v>
      </c>
      <c r="F39" s="4">
        <v>12.892200000000001</v>
      </c>
      <c r="G39" s="4">
        <v>52.326599999999999</v>
      </c>
      <c r="H39" s="4">
        <v>7.42968203552304E-2</v>
      </c>
      <c r="I39" s="4">
        <v>0.56291828630180396</v>
      </c>
      <c r="J39" s="4">
        <v>0.190702243218554</v>
      </c>
      <c r="K39" s="4">
        <v>0.24637947047964101</v>
      </c>
      <c r="L39" s="4">
        <v>0.462735742647578</v>
      </c>
      <c r="M39" s="4">
        <v>2.6833075168390199E-2</v>
      </c>
      <c r="N39" s="4">
        <v>0.27</v>
      </c>
      <c r="O39" s="4">
        <v>111.026</v>
      </c>
      <c r="P39" s="4">
        <v>91.528095582192407</v>
      </c>
      <c r="Q39" s="4">
        <v>0.56291828630180396</v>
      </c>
    </row>
    <row r="40" spans="1:17" x14ac:dyDescent="0.15">
      <c r="A40" t="s">
        <v>17</v>
      </c>
      <c r="B40" s="3" t="s">
        <v>23</v>
      </c>
      <c r="C40" s="4">
        <v>3.5731999999999999</v>
      </c>
      <c r="D40" s="4">
        <v>13.8025</v>
      </c>
      <c r="E40" s="4">
        <v>4.0258000000000003</v>
      </c>
      <c r="F40" s="4">
        <v>7.0353000000000003</v>
      </c>
      <c r="G40" s="4">
        <v>28.436800000000002</v>
      </c>
      <c r="H40" s="4">
        <v>0.125654082034547</v>
      </c>
      <c r="I40" s="4">
        <v>0.61102866707927805</v>
      </c>
      <c r="J40" s="4">
        <v>0.141570078208519</v>
      </c>
      <c r="K40" s="4">
        <v>0.24740125471220401</v>
      </c>
      <c r="L40" s="4">
        <v>0.45222264772270998</v>
      </c>
      <c r="M40" s="4">
        <v>2.1051898662872302E-2</v>
      </c>
      <c r="N40" s="4">
        <v>0.3</v>
      </c>
      <c r="O40" s="4">
        <v>66.88</v>
      </c>
      <c r="P40" s="4">
        <v>70.079473678476205</v>
      </c>
      <c r="Q40" s="4">
        <v>0.61102866707927805</v>
      </c>
    </row>
    <row r="41" spans="1:17" x14ac:dyDescent="0.15">
      <c r="A41" t="s">
        <v>17</v>
      </c>
      <c r="B41" s="3" t="s">
        <v>23</v>
      </c>
      <c r="C41" s="4">
        <v>7.8102999999999998</v>
      </c>
      <c r="D41" s="4">
        <v>16.158100000000001</v>
      </c>
      <c r="E41" s="4">
        <v>11.451599999999999</v>
      </c>
      <c r="F41" s="4">
        <v>14.4057</v>
      </c>
      <c r="G41" s="4">
        <v>49.825699999999998</v>
      </c>
      <c r="H41" s="4">
        <v>0.15675243900236199</v>
      </c>
      <c r="I41" s="4">
        <v>0.481044922600184</v>
      </c>
      <c r="J41" s="4">
        <v>0.229833198530076</v>
      </c>
      <c r="K41" s="4">
        <v>0.28912187886974</v>
      </c>
      <c r="L41" s="4">
        <v>0.46090128453982399</v>
      </c>
      <c r="M41" s="4">
        <v>2.9437731689272498E-2</v>
      </c>
      <c r="N41" s="4">
        <v>0.3</v>
      </c>
      <c r="O41" s="4">
        <v>101.709</v>
      </c>
      <c r="P41" s="4">
        <v>70.841000609131697</v>
      </c>
      <c r="Q41" s="4">
        <v>0.481044922600184</v>
      </c>
    </row>
    <row r="42" spans="1:17" x14ac:dyDescent="0.15">
      <c r="A42" t="s">
        <v>17</v>
      </c>
      <c r="B42" s="3" t="s">
        <v>23</v>
      </c>
      <c r="C42" s="4">
        <v>2.177</v>
      </c>
      <c r="D42" s="4">
        <v>18.813300000000002</v>
      </c>
      <c r="E42" s="4">
        <v>1.6425000000000001</v>
      </c>
      <c r="F42" s="4">
        <v>3.323</v>
      </c>
      <c r="G42" s="4">
        <v>25.9558</v>
      </c>
      <c r="H42" s="4">
        <v>8.3873353932454403E-2</v>
      </c>
      <c r="I42" s="4">
        <v>0.80869401058722901</v>
      </c>
      <c r="J42" s="4">
        <v>6.3280654034936296E-2</v>
      </c>
      <c r="K42" s="4">
        <v>0.128025335377835</v>
      </c>
      <c r="L42" s="4">
        <v>0.43114951700139997</v>
      </c>
      <c r="M42" s="4">
        <v>1.4492321696333301E-2</v>
      </c>
      <c r="N42" s="4">
        <v>0.25</v>
      </c>
      <c r="O42" s="4">
        <v>49.1935</v>
      </c>
      <c r="P42" s="4">
        <v>78.794003271405799</v>
      </c>
      <c r="Q42" s="4">
        <v>0.80869401058722901</v>
      </c>
    </row>
    <row r="43" spans="1:17" x14ac:dyDescent="0.15">
      <c r="A43" t="s">
        <v>17</v>
      </c>
      <c r="B43" s="3" t="s">
        <v>23</v>
      </c>
      <c r="C43" s="4">
        <v>3.2980999999999998</v>
      </c>
      <c r="D43" s="4">
        <v>13.414300000000001</v>
      </c>
      <c r="E43" s="4">
        <v>4.5949</v>
      </c>
      <c r="F43" s="4">
        <v>6.2762000000000002</v>
      </c>
      <c r="G43" s="4">
        <v>27.583500000000001</v>
      </c>
      <c r="H43" s="4">
        <v>0.11956785759602701</v>
      </c>
      <c r="I43" s="4">
        <v>0.60588395236282599</v>
      </c>
      <c r="J43" s="4">
        <v>0.16658147080682301</v>
      </c>
      <c r="K43" s="4">
        <v>0.227534576830351</v>
      </c>
      <c r="L43" s="4">
        <v>0.475542227024353</v>
      </c>
      <c r="M43" s="4">
        <v>2.1641511096334099E-2</v>
      </c>
      <c r="N43" s="4">
        <v>0.30499999999999999</v>
      </c>
      <c r="O43" s="4">
        <v>67.353499999999997</v>
      </c>
      <c r="P43" s="4">
        <v>75.351897169995496</v>
      </c>
      <c r="Q43" s="4">
        <v>0.60588395236282599</v>
      </c>
    </row>
    <row r="44" spans="1:17" x14ac:dyDescent="0.15">
      <c r="A44" t="s">
        <v>17</v>
      </c>
      <c r="B44" s="3" t="s">
        <v>24</v>
      </c>
      <c r="C44" s="4">
        <v>0.23619999999999999</v>
      </c>
      <c r="D44" s="4">
        <v>4.0054999999999996</v>
      </c>
      <c r="E44" s="4">
        <v>1.0584</v>
      </c>
      <c r="F44" s="4">
        <v>2.3321999999999998</v>
      </c>
      <c r="G44" s="4">
        <v>7.6322999999999999</v>
      </c>
      <c r="H44" s="4">
        <f t="shared" ref="H44:H50" si="4">C44/G44</f>
        <v>3.0947420829894004E-2</v>
      </c>
      <c r="I44" s="4">
        <f t="shared" ref="I44:I50" si="5">D44/G44</f>
        <v>0.52480903528425238</v>
      </c>
      <c r="J44" s="4">
        <f t="shared" ref="J44:J50" si="6">E44/G44</f>
        <v>0.13867379426909321</v>
      </c>
      <c r="K44" s="4">
        <f t="shared" ref="K44:K50" si="7">F44/G44</f>
        <v>0.30556974961676031</v>
      </c>
      <c r="L44" s="4">
        <v>0.45186069391162598</v>
      </c>
      <c r="M44" s="4">
        <v>2.0042676176536101E-2</v>
      </c>
      <c r="N44" s="4">
        <v>0.17499999999999999</v>
      </c>
      <c r="O44" s="4">
        <v>82.789500000000004</v>
      </c>
      <c r="P44" s="4">
        <v>129.27150681304701</v>
      </c>
      <c r="Q44" s="4">
        <f t="shared" ref="Q44:Q50" si="8">(D44+C44)/G44</f>
        <v>0.55575645611414648</v>
      </c>
    </row>
    <row r="45" spans="1:17" x14ac:dyDescent="0.15">
      <c r="A45" t="s">
        <v>17</v>
      </c>
      <c r="B45" s="3" t="s">
        <v>24</v>
      </c>
      <c r="C45" s="4">
        <v>0.34239999999999998</v>
      </c>
      <c r="D45" s="4">
        <v>5.4248000000000003</v>
      </c>
      <c r="E45" s="4">
        <v>1.0101</v>
      </c>
      <c r="F45" s="4">
        <v>3.2698</v>
      </c>
      <c r="G45" s="4">
        <v>10.0471</v>
      </c>
      <c r="H45" s="4">
        <f t="shared" si="4"/>
        <v>3.4079485622717003E-2</v>
      </c>
      <c r="I45" s="4">
        <f t="shared" si="5"/>
        <v>0.53993689721412153</v>
      </c>
      <c r="J45" s="4">
        <f t="shared" si="6"/>
        <v>0.10053647321117536</v>
      </c>
      <c r="K45" s="4">
        <f t="shared" si="7"/>
        <v>0.32544714395198615</v>
      </c>
      <c r="L45" s="4">
        <v>0.41018150597434699</v>
      </c>
      <c r="M45" s="4">
        <v>1.5010226587434001E-2</v>
      </c>
      <c r="N45" s="4">
        <v>0.14499999999999999</v>
      </c>
      <c r="O45" s="4">
        <v>68.603999999999999</v>
      </c>
      <c r="P45" s="4">
        <v>121.798786948117</v>
      </c>
      <c r="Q45" s="4">
        <f t="shared" si="8"/>
        <v>0.57401638283683842</v>
      </c>
    </row>
    <row r="46" spans="1:17" x14ac:dyDescent="0.15">
      <c r="A46" t="s">
        <v>17</v>
      </c>
      <c r="B46" s="3" t="s">
        <v>24</v>
      </c>
      <c r="C46" s="4">
        <v>0.2349</v>
      </c>
      <c r="D46" s="4">
        <v>3.7214</v>
      </c>
      <c r="E46" s="4">
        <v>5.508</v>
      </c>
      <c r="F46" s="4">
        <v>1.3420000000000001</v>
      </c>
      <c r="G46" s="4">
        <v>10.8063</v>
      </c>
      <c r="H46" s="4">
        <f t="shared" si="4"/>
        <v>2.1737319896726909E-2</v>
      </c>
      <c r="I46" s="4">
        <f t="shared" si="5"/>
        <v>0.34437318971340791</v>
      </c>
      <c r="J46" s="4">
        <f t="shared" si="6"/>
        <v>0.50970267344049303</v>
      </c>
      <c r="K46" s="4">
        <f t="shared" si="7"/>
        <v>0.12418681694937213</v>
      </c>
      <c r="L46" s="4">
        <v>0.40812043769962197</v>
      </c>
      <c r="M46" s="4">
        <v>1.9037120825536099E-2</v>
      </c>
      <c r="N46" s="4">
        <v>0.22</v>
      </c>
      <c r="O46" s="4">
        <v>28.834</v>
      </c>
      <c r="P46" s="4">
        <v>137.85605118438701</v>
      </c>
      <c r="Q46" s="4">
        <f t="shared" si="8"/>
        <v>0.36611050961013486</v>
      </c>
    </row>
    <row r="47" spans="1:17" x14ac:dyDescent="0.15">
      <c r="A47" t="s">
        <v>17</v>
      </c>
      <c r="B47" s="3" t="s">
        <v>24</v>
      </c>
      <c r="C47" s="4">
        <v>0.4173</v>
      </c>
      <c r="D47" s="4">
        <v>4.5359999999999996</v>
      </c>
      <c r="E47" s="4">
        <v>1.1462000000000001</v>
      </c>
      <c r="F47" s="4">
        <v>2.2435</v>
      </c>
      <c r="G47" s="4">
        <v>8.343</v>
      </c>
      <c r="H47" s="4">
        <f t="shared" si="4"/>
        <v>5.0017979144192738E-2</v>
      </c>
      <c r="I47" s="4">
        <f t="shared" si="5"/>
        <v>0.5436893203883495</v>
      </c>
      <c r="J47" s="4">
        <f t="shared" si="6"/>
        <v>0.13738463382476329</v>
      </c>
      <c r="K47" s="4">
        <f t="shared" si="7"/>
        <v>0.26890806664269445</v>
      </c>
      <c r="L47" s="4">
        <v>0.44595424640953701</v>
      </c>
      <c r="M47" s="4">
        <v>1.7262728884393799E-2</v>
      </c>
      <c r="N47" s="4">
        <v>0.16</v>
      </c>
      <c r="O47" s="4">
        <v>41.582000000000001</v>
      </c>
      <c r="P47" s="4">
        <v>167.780078098535</v>
      </c>
      <c r="Q47" s="4">
        <f t="shared" si="8"/>
        <v>0.5937072995325422</v>
      </c>
    </row>
    <row r="48" spans="1:17" x14ac:dyDescent="0.15">
      <c r="A48" t="s">
        <v>17</v>
      </c>
      <c r="B48" s="3" t="s">
        <v>24</v>
      </c>
      <c r="C48" s="4">
        <v>0.34860000000000002</v>
      </c>
      <c r="D48" s="4">
        <v>5.7149999999999999</v>
      </c>
      <c r="E48" s="4">
        <v>1.9194</v>
      </c>
      <c r="F48" s="4">
        <v>5.8838999999999997</v>
      </c>
      <c r="G48" s="4">
        <v>13.866899999999999</v>
      </c>
      <c r="H48" s="4">
        <f t="shared" si="4"/>
        <v>2.5139000064902758E-2</v>
      </c>
      <c r="I48" s="4">
        <f t="shared" si="5"/>
        <v>0.41213248815524739</v>
      </c>
      <c r="J48" s="4">
        <f t="shared" si="6"/>
        <v>0.13841594011639227</v>
      </c>
      <c r="K48" s="4">
        <f t="shared" si="7"/>
        <v>0.42431257166345759</v>
      </c>
      <c r="L48" s="4">
        <v>0.44281533018160302</v>
      </c>
      <c r="M48" s="4">
        <v>2.0938156967013601E-2</v>
      </c>
      <c r="N48" s="4">
        <v>0.26500000000000001</v>
      </c>
      <c r="O48" s="4">
        <v>63.317999999999998</v>
      </c>
      <c r="P48" s="4">
        <v>115.717734994423</v>
      </c>
      <c r="Q48" s="4">
        <f t="shared" si="8"/>
        <v>0.43727148822015016</v>
      </c>
    </row>
    <row r="49" spans="1:17" x14ac:dyDescent="0.15">
      <c r="A49" t="s">
        <v>17</v>
      </c>
      <c r="B49" s="3" t="s">
        <v>24</v>
      </c>
      <c r="C49" s="4">
        <v>0.1002</v>
      </c>
      <c r="D49" s="4">
        <v>9.5797000000000008</v>
      </c>
      <c r="E49" s="4">
        <v>4.1551999999999998</v>
      </c>
      <c r="F49" s="4">
        <v>7.9135</v>
      </c>
      <c r="G49" s="4">
        <v>21.7486</v>
      </c>
      <c r="H49" s="4">
        <f t="shared" si="4"/>
        <v>4.6071931066827294E-3</v>
      </c>
      <c r="I49" s="4">
        <f t="shared" si="5"/>
        <v>0.44047432938212117</v>
      </c>
      <c r="J49" s="4">
        <f t="shared" si="6"/>
        <v>0.19105597601684707</v>
      </c>
      <c r="K49" s="4">
        <f t="shared" si="7"/>
        <v>0.36386250149434907</v>
      </c>
      <c r="L49" s="4">
        <v>0.44547367700047003</v>
      </c>
      <c r="M49" s="4">
        <v>3.41716390975257E-2</v>
      </c>
      <c r="N49" s="4">
        <v>0.245</v>
      </c>
      <c r="O49" s="4">
        <v>129.76150000000001</v>
      </c>
      <c r="P49" s="4">
        <v>103.247046528398</v>
      </c>
      <c r="Q49" s="4">
        <f t="shared" si="8"/>
        <v>0.44508152248880389</v>
      </c>
    </row>
    <row r="50" spans="1:17" x14ac:dyDescent="0.15">
      <c r="A50" t="s">
        <v>17</v>
      </c>
      <c r="B50" s="3" t="s">
        <v>24</v>
      </c>
      <c r="C50" s="4">
        <v>0.99929999999999997</v>
      </c>
      <c r="D50" s="4">
        <v>26.606000000000002</v>
      </c>
      <c r="E50" s="4">
        <v>6.1139000000000001</v>
      </c>
      <c r="F50" s="4">
        <v>13.4903</v>
      </c>
      <c r="G50" s="4">
        <v>47.209499999999998</v>
      </c>
      <c r="H50" s="4">
        <f t="shared" si="4"/>
        <v>2.1167349791885108E-2</v>
      </c>
      <c r="I50" s="4">
        <f t="shared" si="5"/>
        <v>0.56357300966966395</v>
      </c>
      <c r="J50" s="4">
        <f t="shared" si="6"/>
        <v>0.12950571389233101</v>
      </c>
      <c r="K50" s="4">
        <f t="shared" si="7"/>
        <v>0.28575392664611993</v>
      </c>
      <c r="L50" s="4">
        <v>0.39146263593033298</v>
      </c>
      <c r="M50" s="4">
        <v>3.2652040133477202E-2</v>
      </c>
      <c r="N50" s="4">
        <v>0.245</v>
      </c>
      <c r="O50" s="4">
        <v>164.63749999999999</v>
      </c>
      <c r="P50" s="4">
        <v>129.22934312442001</v>
      </c>
      <c r="Q50" s="4">
        <f t="shared" si="8"/>
        <v>0.58474035946154912</v>
      </c>
    </row>
    <row r="51" spans="1:17" x14ac:dyDescent="0.15">
      <c r="A51" t="s">
        <v>25</v>
      </c>
      <c r="B51" s="3" t="s">
        <v>18</v>
      </c>
      <c r="C51" s="4">
        <v>0.36320000000000002</v>
      </c>
      <c r="D51" s="4">
        <v>0.81379999999999997</v>
      </c>
      <c r="E51" s="4">
        <v>1.6315999999999999</v>
      </c>
      <c r="F51" s="4">
        <v>3.1248999999999998</v>
      </c>
      <c r="G51" s="4">
        <f>SUM(C51:F51)</f>
        <v>5.9335000000000004</v>
      </c>
      <c r="H51" s="4">
        <v>6.1211763714502397E-2</v>
      </c>
      <c r="I51" s="4">
        <v>0.198365214460268</v>
      </c>
      <c r="J51" s="4">
        <v>0.27498103985843098</v>
      </c>
      <c r="K51" s="4">
        <v>0.52665374568130097</v>
      </c>
      <c r="L51" s="4">
        <v>0.33248900455014702</v>
      </c>
      <c r="M51" s="4">
        <v>1.7653736689284199E-2</v>
      </c>
      <c r="N51" s="4">
        <v>0.11</v>
      </c>
      <c r="O51" s="4">
        <v>54.518000000000001</v>
      </c>
      <c r="P51" s="4">
        <v>282.18131065131303</v>
      </c>
      <c r="Q51" s="4">
        <v>0.198365214460268</v>
      </c>
    </row>
    <row r="52" spans="1:17" x14ac:dyDescent="0.15">
      <c r="A52" t="s">
        <v>25</v>
      </c>
      <c r="B52" s="3" t="s">
        <v>18</v>
      </c>
      <c r="C52" s="4">
        <v>0.24859999999999999</v>
      </c>
      <c r="D52" s="4">
        <v>0.45429999999999998</v>
      </c>
      <c r="E52" s="4">
        <v>0.79969999999999997</v>
      </c>
      <c r="F52" s="4">
        <v>1.6052</v>
      </c>
      <c r="G52" s="4">
        <v>3.1078000000000001</v>
      </c>
      <c r="H52" s="4">
        <v>7.9992277495334302E-2</v>
      </c>
      <c r="I52" s="4">
        <v>0.22617285539609999</v>
      </c>
      <c r="J52" s="4">
        <v>0.257320290881009</v>
      </c>
      <c r="K52" s="4">
        <v>0.51650685372289096</v>
      </c>
      <c r="L52" s="4">
        <v>0.33994339902367998</v>
      </c>
      <c r="M52" s="4">
        <v>2.1054396387418201E-2</v>
      </c>
      <c r="N52" s="4">
        <v>0.11</v>
      </c>
      <c r="O52" s="4">
        <v>95.153000000000006</v>
      </c>
      <c r="P52" s="4">
        <v>314.26338480799001</v>
      </c>
      <c r="Q52" s="4">
        <v>0.22617285539609999</v>
      </c>
    </row>
    <row r="53" spans="1:17" x14ac:dyDescent="0.15">
      <c r="A53" t="s">
        <v>25</v>
      </c>
      <c r="B53" s="3" t="s">
        <v>18</v>
      </c>
      <c r="C53" s="4">
        <v>0.9708</v>
      </c>
      <c r="D53" s="4">
        <v>0.99219999999999997</v>
      </c>
      <c r="E53" s="4">
        <v>1.9514</v>
      </c>
      <c r="F53" s="4">
        <v>3.0912999999999999</v>
      </c>
      <c r="G53" s="4">
        <v>7.0057</v>
      </c>
      <c r="H53" s="4">
        <v>0.138572876372097</v>
      </c>
      <c r="I53" s="4">
        <v>0.28020040823900499</v>
      </c>
      <c r="J53" s="4">
        <v>0.27854461367172401</v>
      </c>
      <c r="K53" s="4">
        <v>0.44125497808927</v>
      </c>
      <c r="L53" s="4">
        <v>0.30688368201971</v>
      </c>
      <c r="M53" s="4">
        <v>1.6050291681451102E-2</v>
      </c>
      <c r="N53" s="4">
        <v>0.14000000000000001</v>
      </c>
      <c r="O53" s="4">
        <v>114.943</v>
      </c>
      <c r="P53" s="4">
        <v>260.77713630688203</v>
      </c>
      <c r="Q53" s="4">
        <v>0.28020040823900499</v>
      </c>
    </row>
    <row r="54" spans="1:17" x14ac:dyDescent="0.15">
      <c r="A54" t="s">
        <v>25</v>
      </c>
      <c r="B54" s="3" t="s">
        <v>18</v>
      </c>
      <c r="C54" s="4">
        <v>0.23480000000000001</v>
      </c>
      <c r="D54" s="4">
        <v>0.31809999999999999</v>
      </c>
      <c r="E54" s="4">
        <v>0.73119999999999996</v>
      </c>
      <c r="F54" s="4">
        <v>1.1017999999999999</v>
      </c>
      <c r="G54" s="4">
        <v>2.3858999999999999</v>
      </c>
      <c r="H54" s="4">
        <v>9.8411500901127505E-2</v>
      </c>
      <c r="I54" s="4">
        <v>0.23173645165346399</v>
      </c>
      <c r="J54" s="4">
        <v>0.30646716123894502</v>
      </c>
      <c r="K54" s="4">
        <v>0.46179638710759002</v>
      </c>
      <c r="L54" s="4">
        <v>0.37708579569699802</v>
      </c>
      <c r="M54" s="4">
        <v>1.7410196968044502E-2</v>
      </c>
      <c r="N54" s="4">
        <v>0.14499999999999999</v>
      </c>
      <c r="O54" s="4">
        <v>49.451999999999998</v>
      </c>
      <c r="P54" s="4">
        <v>184.43715095359201</v>
      </c>
      <c r="Q54" s="4">
        <v>0.23173645165346399</v>
      </c>
    </row>
    <row r="55" spans="1:17" x14ac:dyDescent="0.15">
      <c r="A55" t="s">
        <v>25</v>
      </c>
      <c r="B55" s="3" t="s">
        <v>18</v>
      </c>
      <c r="C55" s="4">
        <v>0.1835</v>
      </c>
      <c r="D55" s="4">
        <v>0.71350000000000002</v>
      </c>
      <c r="E55" s="4">
        <v>0.91459999999999997</v>
      </c>
      <c r="F55" s="4">
        <v>1.5471999999999999</v>
      </c>
      <c r="G55" s="4">
        <v>3.3588</v>
      </c>
      <c r="H55" s="4">
        <v>5.4632606883410803E-2</v>
      </c>
      <c r="I55" s="4">
        <v>0.26705966416577398</v>
      </c>
      <c r="J55" s="4">
        <v>0.27229963082053099</v>
      </c>
      <c r="K55" s="4">
        <v>0.46064070501369497</v>
      </c>
      <c r="L55" s="4">
        <v>0.36261056414200499</v>
      </c>
      <c r="M55" s="4">
        <v>1.44634866832109E-2</v>
      </c>
      <c r="N55" s="4">
        <v>0.12</v>
      </c>
      <c r="O55" s="4">
        <v>33.991</v>
      </c>
      <c r="P55" s="4">
        <v>194.90933272373101</v>
      </c>
      <c r="Q55" s="4">
        <v>0.26705966416577398</v>
      </c>
    </row>
    <row r="56" spans="1:17" x14ac:dyDescent="0.15">
      <c r="A56" t="s">
        <v>25</v>
      </c>
      <c r="B56" s="3" t="s">
        <v>18</v>
      </c>
      <c r="C56" s="4">
        <v>0.70950000000000002</v>
      </c>
      <c r="D56" s="4">
        <v>0.83960000000000001</v>
      </c>
      <c r="E56" s="4">
        <v>1.6329</v>
      </c>
      <c r="F56" s="4">
        <v>2.0114999999999998</v>
      </c>
      <c r="G56" s="4">
        <v>5.1935000000000002</v>
      </c>
      <c r="H56" s="4">
        <v>0.13661307403485101</v>
      </c>
      <c r="I56" s="4">
        <v>0.29827669201887003</v>
      </c>
      <c r="J56" s="4">
        <v>0.314412246076827</v>
      </c>
      <c r="K56" s="4">
        <v>0.38731106190430298</v>
      </c>
      <c r="L56" s="4">
        <v>0.39282176316148698</v>
      </c>
      <c r="M56" s="4">
        <v>1.8172671999846301E-2</v>
      </c>
      <c r="N56" s="4">
        <v>0.12</v>
      </c>
      <c r="O56" s="4">
        <v>47.224499999999999</v>
      </c>
      <c r="P56" s="4">
        <v>188.74184069454</v>
      </c>
      <c r="Q56" s="4">
        <v>0.29827669201887003</v>
      </c>
    </row>
    <row r="57" spans="1:17" x14ac:dyDescent="0.15">
      <c r="A57" t="s">
        <v>25</v>
      </c>
      <c r="B57" s="3" t="s">
        <v>18</v>
      </c>
      <c r="C57" s="4">
        <v>0.48130000000000001</v>
      </c>
      <c r="D57" s="4">
        <v>1.8466</v>
      </c>
      <c r="E57" s="4">
        <v>2.4998999999999998</v>
      </c>
      <c r="F57" s="4">
        <v>3.0674000000000001</v>
      </c>
      <c r="G57" s="4">
        <v>7.8952</v>
      </c>
      <c r="H57" s="4">
        <v>6.0961090282703398E-2</v>
      </c>
      <c r="I57" s="4">
        <v>0.29485003546458599</v>
      </c>
      <c r="J57" s="4">
        <v>0.31663542405512202</v>
      </c>
      <c r="K57" s="4">
        <v>0.38851454048029199</v>
      </c>
      <c r="L57" s="4">
        <v>0.40193050569125199</v>
      </c>
      <c r="M57" s="4">
        <v>1.93707561203833E-2</v>
      </c>
      <c r="N57" s="4">
        <v>0.12</v>
      </c>
      <c r="O57" s="4">
        <v>85.034999999999997</v>
      </c>
      <c r="P57" s="4">
        <v>200.76089001155501</v>
      </c>
      <c r="Q57" s="4">
        <v>0.29485003546458599</v>
      </c>
    </row>
    <row r="58" spans="1:17" x14ac:dyDescent="0.15">
      <c r="A58" t="s">
        <v>25</v>
      </c>
      <c r="B58" s="3" t="s">
        <v>19</v>
      </c>
      <c r="C58" s="4">
        <v>0.70089999999999997</v>
      </c>
      <c r="D58" s="4">
        <v>1.6926000000000001</v>
      </c>
      <c r="E58" s="4">
        <v>4.4733999999999998</v>
      </c>
      <c r="F58" s="4">
        <v>4.9092000000000002</v>
      </c>
      <c r="G58" s="4">
        <v>11.7761</v>
      </c>
      <c r="H58" s="4">
        <v>5.95188559879756E-2</v>
      </c>
      <c r="I58" s="4">
        <v>0.20325065174378601</v>
      </c>
      <c r="J58" s="4">
        <v>0.37987109484464299</v>
      </c>
      <c r="K58" s="4">
        <v>0.41687825341157098</v>
      </c>
      <c r="L58" s="4">
        <v>0.40497850556252601</v>
      </c>
      <c r="M58" s="4">
        <v>2.03368285074918E-2</v>
      </c>
      <c r="N58" s="4">
        <v>0.13</v>
      </c>
      <c r="O58" s="4">
        <v>103.33150000000001</v>
      </c>
      <c r="P58" s="4">
        <v>180.721724513575</v>
      </c>
      <c r="Q58" s="4">
        <v>0.20325065174378601</v>
      </c>
    </row>
    <row r="59" spans="1:17" x14ac:dyDescent="0.15">
      <c r="A59" t="s">
        <v>25</v>
      </c>
      <c r="B59" s="3" t="s">
        <v>19</v>
      </c>
      <c r="C59" s="4">
        <v>0.25330000000000003</v>
      </c>
      <c r="D59" s="4">
        <v>1.0822000000000001</v>
      </c>
      <c r="E59" s="4">
        <v>2.6227999999999998</v>
      </c>
      <c r="F59" s="4">
        <v>3.4333</v>
      </c>
      <c r="G59" s="4">
        <v>7.3916000000000004</v>
      </c>
      <c r="H59" s="4">
        <v>3.4268629254829798E-2</v>
      </c>
      <c r="I59" s="4">
        <v>0.180678066994967</v>
      </c>
      <c r="J59" s="4">
        <v>0.35483521835597198</v>
      </c>
      <c r="K59" s="4">
        <v>0.46448671464906099</v>
      </c>
      <c r="L59" s="4">
        <v>0.35460010655136098</v>
      </c>
      <c r="M59" s="4">
        <v>1.7083739670494601E-2</v>
      </c>
      <c r="N59" s="4">
        <v>0.13</v>
      </c>
      <c r="O59" s="4">
        <v>93.621499999999997</v>
      </c>
      <c r="P59" s="4">
        <v>241.591914936677</v>
      </c>
      <c r="Q59" s="4">
        <v>0.180678066994967</v>
      </c>
    </row>
    <row r="60" spans="1:17" x14ac:dyDescent="0.15">
      <c r="A60" t="s">
        <v>25</v>
      </c>
      <c r="B60" s="3" t="s">
        <v>19</v>
      </c>
      <c r="C60" s="4">
        <v>0.45079999999999998</v>
      </c>
      <c r="D60" s="4">
        <v>0.94140000000000001</v>
      </c>
      <c r="E60" s="4">
        <v>1.6966000000000001</v>
      </c>
      <c r="F60" s="4">
        <v>2.1602000000000001</v>
      </c>
      <c r="G60" s="4">
        <v>5.2489999999999997</v>
      </c>
      <c r="H60" s="4">
        <v>8.5883025338159599E-2</v>
      </c>
      <c r="I60" s="4">
        <v>0.26523147266145902</v>
      </c>
      <c r="J60" s="4">
        <v>0.323223471137359</v>
      </c>
      <c r="K60" s="4">
        <v>0.41154505620118098</v>
      </c>
      <c r="L60" s="4">
        <v>0.35918556802857698</v>
      </c>
      <c r="M60" s="4">
        <v>1.6742102755476999E-2</v>
      </c>
      <c r="N60" s="4">
        <v>0.13</v>
      </c>
      <c r="O60" s="4">
        <v>95.153999999999996</v>
      </c>
      <c r="P60" s="4">
        <v>243.61156746507601</v>
      </c>
      <c r="Q60" s="4">
        <v>0.26523147266145902</v>
      </c>
    </row>
    <row r="61" spans="1:17" x14ac:dyDescent="0.15">
      <c r="A61" t="s">
        <v>25</v>
      </c>
      <c r="B61" s="3" t="s">
        <v>19</v>
      </c>
      <c r="C61" s="4">
        <v>0.2883</v>
      </c>
      <c r="D61" s="4">
        <v>1.1209</v>
      </c>
      <c r="E61" s="4">
        <v>1.641</v>
      </c>
      <c r="F61" s="4">
        <v>2.1055999999999999</v>
      </c>
      <c r="G61" s="4">
        <v>5.1558000000000002</v>
      </c>
      <c r="H61" s="4">
        <v>5.5917607354823699E-2</v>
      </c>
      <c r="I61" s="4">
        <v>0.273323247604639</v>
      </c>
      <c r="J61" s="4">
        <v>0.31828232282090102</v>
      </c>
      <c r="K61" s="4">
        <v>0.40839442957445998</v>
      </c>
      <c r="L61" s="4">
        <v>0.417472807164321</v>
      </c>
      <c r="M61" s="4">
        <v>2.45829490869225E-2</v>
      </c>
      <c r="N61" s="4">
        <v>0.13</v>
      </c>
      <c r="O61" s="4">
        <v>80.836500000000001</v>
      </c>
      <c r="P61" s="4">
        <v>210.541926117136</v>
      </c>
      <c r="Q61" s="4">
        <v>0.273323247604639</v>
      </c>
    </row>
    <row r="62" spans="1:17" x14ac:dyDescent="0.15">
      <c r="A62" t="s">
        <v>25</v>
      </c>
      <c r="B62" s="3" t="s">
        <v>19</v>
      </c>
      <c r="C62" s="4">
        <v>0.38929999999999998</v>
      </c>
      <c r="D62" s="4">
        <v>1.6471</v>
      </c>
      <c r="E62" s="4">
        <v>4.2615999999999996</v>
      </c>
      <c r="F62" s="4">
        <v>4.5789</v>
      </c>
      <c r="G62" s="4">
        <v>10.876899999999999</v>
      </c>
      <c r="H62" s="4">
        <v>3.57914479309362E-2</v>
      </c>
      <c r="I62" s="4">
        <v>0.18722246228245201</v>
      </c>
      <c r="J62" s="4">
        <v>0.39180281146282497</v>
      </c>
      <c r="K62" s="4">
        <v>0.42097472625472299</v>
      </c>
      <c r="L62" s="4">
        <v>0.39655514249938101</v>
      </c>
      <c r="M62" s="4">
        <v>1.9540735712557999E-2</v>
      </c>
      <c r="N62" s="4">
        <v>0.14000000000000001</v>
      </c>
      <c r="O62" s="4">
        <v>66.772499999999994</v>
      </c>
      <c r="P62" s="4">
        <v>189.52476318836699</v>
      </c>
      <c r="Q62" s="4">
        <v>0.18722246228245201</v>
      </c>
    </row>
    <row r="63" spans="1:17" x14ac:dyDescent="0.15">
      <c r="A63" t="s">
        <v>25</v>
      </c>
      <c r="B63" s="3" t="s">
        <v>19</v>
      </c>
      <c r="C63" s="4">
        <v>0.28139999999999998</v>
      </c>
      <c r="D63" s="4">
        <v>1.1724000000000001</v>
      </c>
      <c r="E63" s="4">
        <v>2.0853000000000002</v>
      </c>
      <c r="F63" s="4">
        <v>2.9964</v>
      </c>
      <c r="G63" s="4">
        <v>6.5354999999999999</v>
      </c>
      <c r="H63" s="4">
        <v>4.3057149414734902E-2</v>
      </c>
      <c r="I63" s="4">
        <v>0.22244663759467501</v>
      </c>
      <c r="J63" s="4">
        <v>0.319072756483819</v>
      </c>
      <c r="K63" s="4">
        <v>0.45848060592150602</v>
      </c>
      <c r="L63" s="4">
        <v>0.35759553621755802</v>
      </c>
      <c r="M63" s="4">
        <v>1.8493633733447201E-2</v>
      </c>
      <c r="N63" s="4">
        <v>0.14499999999999999</v>
      </c>
      <c r="O63" s="4">
        <v>90.078000000000003</v>
      </c>
      <c r="P63" s="4">
        <v>189.494471963222</v>
      </c>
      <c r="Q63" s="4">
        <v>0.22244663759467501</v>
      </c>
    </row>
    <row r="64" spans="1:17" x14ac:dyDescent="0.15">
      <c r="A64" t="s">
        <v>25</v>
      </c>
      <c r="B64" s="3" t="s">
        <v>19</v>
      </c>
      <c r="C64" s="4">
        <v>0.23960000000000001</v>
      </c>
      <c r="D64" s="4">
        <v>0.75649999999999995</v>
      </c>
      <c r="E64" s="4">
        <v>1.1591</v>
      </c>
      <c r="F64" s="4">
        <v>1.7117</v>
      </c>
      <c r="G64" s="4">
        <v>3.8668999999999998</v>
      </c>
      <c r="H64" s="4">
        <v>6.1961778168558801E-2</v>
      </c>
      <c r="I64" s="4">
        <v>0.257596524347669</v>
      </c>
      <c r="J64" s="4">
        <v>0.29974915306834898</v>
      </c>
      <c r="K64" s="4">
        <v>0.44265432258398202</v>
      </c>
      <c r="L64" s="4">
        <v>0.33245428261932403</v>
      </c>
      <c r="M64" s="4">
        <v>1.1116988553954399E-2</v>
      </c>
      <c r="N64" s="4">
        <v>0.115</v>
      </c>
      <c r="O64" s="4">
        <v>60.311999999999998</v>
      </c>
      <c r="P64" s="4">
        <v>254.249340708917</v>
      </c>
      <c r="Q64" s="4">
        <v>0.257596524347669</v>
      </c>
    </row>
    <row r="65" spans="1:17" x14ac:dyDescent="0.15">
      <c r="A65" t="s">
        <v>25</v>
      </c>
      <c r="B65" s="3" t="s">
        <v>20</v>
      </c>
      <c r="C65" s="4">
        <v>1.1318999999999999</v>
      </c>
      <c r="D65" s="4">
        <v>2.3544999999999998</v>
      </c>
      <c r="E65" s="4">
        <v>4.3410000000000002</v>
      </c>
      <c r="F65" s="4">
        <v>5.2778</v>
      </c>
      <c r="G65" s="4">
        <v>13.1052</v>
      </c>
      <c r="H65" s="4">
        <v>8.6370295760461499E-2</v>
      </c>
      <c r="I65" s="4">
        <v>0.26603180416933703</v>
      </c>
      <c r="J65" s="4">
        <v>0.331242560205109</v>
      </c>
      <c r="K65" s="4">
        <v>0.40272563562555302</v>
      </c>
      <c r="L65" s="4">
        <v>0.37758871589327198</v>
      </c>
      <c r="M65" s="4">
        <v>2.54105183421032E-2</v>
      </c>
      <c r="N65" s="4">
        <v>0.12</v>
      </c>
      <c r="O65" s="4">
        <v>179.65799999999999</v>
      </c>
      <c r="P65" s="4">
        <v>186.011458827003</v>
      </c>
      <c r="Q65" s="4">
        <v>0.26603180416933703</v>
      </c>
    </row>
    <row r="66" spans="1:17" x14ac:dyDescent="0.15">
      <c r="A66" t="s">
        <v>25</v>
      </c>
      <c r="B66" s="3" t="s">
        <v>20</v>
      </c>
      <c r="C66" s="4">
        <v>0.20660000000000001</v>
      </c>
      <c r="D66" s="4">
        <v>0.56810000000000005</v>
      </c>
      <c r="E66" s="4">
        <v>0.97089999999999999</v>
      </c>
      <c r="F66" s="4">
        <v>1.3092999999999999</v>
      </c>
      <c r="G66" s="4">
        <v>3.0548999999999999</v>
      </c>
      <c r="H66" s="4">
        <v>6.7629054960882506E-2</v>
      </c>
      <c r="I66" s="4">
        <v>0.25359258895544901</v>
      </c>
      <c r="J66" s="4">
        <v>0.317817277161282</v>
      </c>
      <c r="K66" s="4">
        <v>0.428590133883269</v>
      </c>
      <c r="L66" s="4">
        <v>0.29450085110017998</v>
      </c>
      <c r="M66" s="4">
        <v>2.0637247616894099E-2</v>
      </c>
      <c r="N66" s="4">
        <v>0.11</v>
      </c>
      <c r="O66" s="4">
        <v>64.502499999999998</v>
      </c>
      <c r="P66" s="4">
        <v>254.884416335304</v>
      </c>
      <c r="Q66" s="4">
        <v>0.25359258895544901</v>
      </c>
    </row>
    <row r="67" spans="1:17" x14ac:dyDescent="0.15">
      <c r="A67" t="s">
        <v>25</v>
      </c>
      <c r="B67" s="3" t="s">
        <v>20</v>
      </c>
      <c r="C67" s="4">
        <v>0.1759</v>
      </c>
      <c r="D67" s="4">
        <v>0.54810000000000003</v>
      </c>
      <c r="E67" s="4">
        <v>0.71050000000000002</v>
      </c>
      <c r="F67" s="4">
        <v>0.98440000000000005</v>
      </c>
      <c r="G67" s="4">
        <v>2.4188999999999998</v>
      </c>
      <c r="H67" s="4">
        <v>7.2719004506180504E-2</v>
      </c>
      <c r="I67" s="4">
        <v>0.29930960353879899</v>
      </c>
      <c r="J67" s="4">
        <v>0.29372855430154199</v>
      </c>
      <c r="K67" s="4">
        <v>0.40696184215965903</v>
      </c>
      <c r="L67" s="4">
        <v>0.37560813773685098</v>
      </c>
      <c r="M67" s="4">
        <v>2.4863425418961999E-2</v>
      </c>
      <c r="N67" s="4">
        <v>9.5000000000000001E-2</v>
      </c>
      <c r="O67" s="4">
        <v>43.643000000000001</v>
      </c>
      <c r="P67" s="4">
        <v>226.41544227524301</v>
      </c>
      <c r="Q67" s="4">
        <v>0.29930960353879899</v>
      </c>
    </row>
    <row r="68" spans="1:17" x14ac:dyDescent="0.15">
      <c r="A68" t="s">
        <v>25</v>
      </c>
      <c r="B68" s="3" t="s">
        <v>20</v>
      </c>
      <c r="C68" s="4">
        <v>0.27529999999999999</v>
      </c>
      <c r="D68" s="4">
        <v>0.89900000000000002</v>
      </c>
      <c r="E68" s="4">
        <v>2.2538999999999998</v>
      </c>
      <c r="F68" s="4">
        <v>2.3300999999999998</v>
      </c>
      <c r="G68" s="4">
        <v>5.7583000000000002</v>
      </c>
      <c r="H68" s="4">
        <v>4.7809249257593403E-2</v>
      </c>
      <c r="I68" s="4">
        <v>0.20393171595783499</v>
      </c>
      <c r="J68" s="4">
        <v>0.39141760589062702</v>
      </c>
      <c r="K68" s="4">
        <v>0.40465067815153799</v>
      </c>
      <c r="L68" s="4">
        <v>0.28426984829306901</v>
      </c>
      <c r="M68" s="4">
        <v>2.52131115142426E-2</v>
      </c>
      <c r="N68" s="4">
        <v>0.09</v>
      </c>
      <c r="O68" s="4">
        <v>65.0595</v>
      </c>
      <c r="P68" s="4">
        <v>287.32071262004098</v>
      </c>
      <c r="Q68" s="4">
        <v>0.20393171595783499</v>
      </c>
    </row>
    <row r="69" spans="1:17" x14ac:dyDescent="0.15">
      <c r="A69" t="s">
        <v>25</v>
      </c>
      <c r="B69" s="3" t="s">
        <v>20</v>
      </c>
      <c r="C69" s="4">
        <v>0.26700000000000002</v>
      </c>
      <c r="D69" s="4">
        <v>0.71330000000000005</v>
      </c>
      <c r="E69" s="4">
        <v>1.2583</v>
      </c>
      <c r="F69" s="4">
        <v>1.7119</v>
      </c>
      <c r="G69" s="4">
        <v>3.9504999999999999</v>
      </c>
      <c r="H69" s="4">
        <v>6.7586381470699897E-2</v>
      </c>
      <c r="I69" s="4">
        <v>0.24814580432856601</v>
      </c>
      <c r="J69" s="4">
        <v>0.31851664346285302</v>
      </c>
      <c r="K69" s="4">
        <v>0.433337552208581</v>
      </c>
      <c r="L69" s="4">
        <v>0.35055820506729102</v>
      </c>
      <c r="M69" s="4">
        <v>1.88866755244523E-2</v>
      </c>
      <c r="N69" s="4">
        <v>0.1</v>
      </c>
      <c r="O69" s="4">
        <v>79.010499999999993</v>
      </c>
      <c r="P69" s="4">
        <v>232.041274819275</v>
      </c>
      <c r="Q69" s="4">
        <v>0.24814580432856601</v>
      </c>
    </row>
    <row r="70" spans="1:17" x14ac:dyDescent="0.15">
      <c r="A70" t="s">
        <v>25</v>
      </c>
      <c r="B70" s="3" t="s">
        <v>20</v>
      </c>
      <c r="C70" s="4">
        <v>0.25629999999999997</v>
      </c>
      <c r="D70" s="4">
        <v>0.48709999999999998</v>
      </c>
      <c r="E70" s="4">
        <v>1.0290999999999999</v>
      </c>
      <c r="F70" s="4">
        <v>1.6001000000000001</v>
      </c>
      <c r="G70" s="4">
        <v>3.3725999999999998</v>
      </c>
      <c r="H70" s="4">
        <v>7.5994781474233497E-2</v>
      </c>
      <c r="I70" s="4">
        <v>0.220423412204234</v>
      </c>
      <c r="J70" s="4">
        <v>0.30513550376564103</v>
      </c>
      <c r="K70" s="4">
        <v>0.47444108403012503</v>
      </c>
      <c r="L70" s="4">
        <v>0.371798737773127</v>
      </c>
      <c r="M70" s="4">
        <v>2.0131141100929499E-2</v>
      </c>
      <c r="N70" s="4">
        <v>0.11</v>
      </c>
      <c r="O70" s="4">
        <v>79.72</v>
      </c>
      <c r="P70" s="4">
        <v>197.40926449723301</v>
      </c>
      <c r="Q70" s="4">
        <v>0.220423412204234</v>
      </c>
    </row>
    <row r="71" spans="1:17" x14ac:dyDescent="0.15">
      <c r="A71" t="s">
        <v>25</v>
      </c>
      <c r="B71" s="3" t="s">
        <v>20</v>
      </c>
      <c r="C71" s="4">
        <v>0.81940000000000002</v>
      </c>
      <c r="D71" s="4">
        <v>1.7677</v>
      </c>
      <c r="E71" s="4">
        <v>2.5876000000000001</v>
      </c>
      <c r="F71" s="4">
        <v>2.9032</v>
      </c>
      <c r="G71" s="4">
        <v>8.0778999999999996</v>
      </c>
      <c r="H71" s="4">
        <v>0.101437254732047</v>
      </c>
      <c r="I71" s="4">
        <v>0.32026888176382501</v>
      </c>
      <c r="J71" s="4">
        <v>0.32033077903910701</v>
      </c>
      <c r="K71" s="4">
        <v>0.35940033919706799</v>
      </c>
      <c r="L71" s="4">
        <v>0.42985193696049201</v>
      </c>
      <c r="M71" s="4">
        <v>1.90629831388229E-2</v>
      </c>
      <c r="N71" s="4">
        <v>0.1</v>
      </c>
      <c r="O71" s="4">
        <v>67.891999999999996</v>
      </c>
      <c r="P71" s="4">
        <v>183.046345968005</v>
      </c>
      <c r="Q71" s="4">
        <v>0.32026888176382501</v>
      </c>
    </row>
    <row r="72" spans="1:17" x14ac:dyDescent="0.15">
      <c r="A72" t="s">
        <v>25</v>
      </c>
      <c r="B72" s="3" t="s">
        <v>21</v>
      </c>
      <c r="C72" s="4">
        <v>2.7418999999999998</v>
      </c>
      <c r="D72" s="4">
        <v>0.27950000000000003</v>
      </c>
      <c r="E72" s="4">
        <v>0.50080000000000002</v>
      </c>
      <c r="F72" s="4">
        <v>0.69420000000000004</v>
      </c>
      <c r="G72" s="4">
        <v>4.2164000000000001</v>
      </c>
      <c r="H72" s="4">
        <v>0.65029408974480596</v>
      </c>
      <c r="I72" s="4">
        <v>0.71658286690067396</v>
      </c>
      <c r="J72" s="4">
        <v>0.118774309837776</v>
      </c>
      <c r="K72" s="4">
        <v>0.16464282326155</v>
      </c>
      <c r="L72" s="4">
        <v>0.34664684175857302</v>
      </c>
      <c r="M72" s="4">
        <v>8.2770985041369094E-3</v>
      </c>
      <c r="N72" s="4">
        <v>0.13500000000000001</v>
      </c>
      <c r="O72" s="4">
        <v>15.426</v>
      </c>
      <c r="P72" s="4">
        <v>198.636519811391</v>
      </c>
      <c r="Q72" s="4">
        <v>0.71658286690067396</v>
      </c>
    </row>
    <row r="73" spans="1:17" x14ac:dyDescent="0.15">
      <c r="A73" t="s">
        <v>25</v>
      </c>
      <c r="B73" s="3" t="s">
        <v>21</v>
      </c>
      <c r="C73" s="4">
        <v>3.9660000000000002</v>
      </c>
      <c r="D73" s="4">
        <v>3.0007999999999999</v>
      </c>
      <c r="E73" s="4">
        <v>2.5019999999999998</v>
      </c>
      <c r="F73" s="4">
        <v>3.4828999999999999</v>
      </c>
      <c r="G73" s="4">
        <v>12.951700000000001</v>
      </c>
      <c r="H73" s="4">
        <v>0.30621462819552597</v>
      </c>
      <c r="I73" s="4">
        <v>0.53790622080499095</v>
      </c>
      <c r="J73" s="4">
        <v>0.19317927376329</v>
      </c>
      <c r="K73" s="4">
        <v>0.26891450543171902</v>
      </c>
      <c r="L73" s="4">
        <v>0.51600647519045795</v>
      </c>
      <c r="M73" s="4">
        <v>1.9975717938372699E-2</v>
      </c>
      <c r="N73" s="4">
        <v>0.15</v>
      </c>
      <c r="O73" s="4">
        <v>46.869500000000002</v>
      </c>
      <c r="P73" s="4">
        <v>107.23827992120199</v>
      </c>
      <c r="Q73" s="4">
        <v>0.53790622080499095</v>
      </c>
    </row>
    <row r="74" spans="1:17" x14ac:dyDescent="0.15">
      <c r="A74" t="s">
        <v>25</v>
      </c>
      <c r="B74" s="3" t="s">
        <v>21</v>
      </c>
      <c r="C74" s="4">
        <v>5.4292999999999996</v>
      </c>
      <c r="D74" s="4">
        <v>3.6882000000000001</v>
      </c>
      <c r="E74" s="4">
        <v>4.1502999999999997</v>
      </c>
      <c r="F74" s="4">
        <v>4.5528000000000004</v>
      </c>
      <c r="G74" s="4">
        <v>17.820599999999999</v>
      </c>
      <c r="H74" s="4">
        <v>0.30466426495179699</v>
      </c>
      <c r="I74" s="4">
        <v>0.51162699347945595</v>
      </c>
      <c r="J74" s="4">
        <v>0.23289339303951601</v>
      </c>
      <c r="K74" s="4">
        <v>0.25547961348102799</v>
      </c>
      <c r="L74" s="4">
        <v>0.52287383427638601</v>
      </c>
      <c r="M74" s="4">
        <v>1.72453020910339E-2</v>
      </c>
      <c r="N74" s="4">
        <v>0.13</v>
      </c>
      <c r="O74" s="4">
        <v>36.587000000000003</v>
      </c>
      <c r="P74" s="4">
        <v>110.554866654078</v>
      </c>
      <c r="Q74" s="4">
        <v>0.51162699347945595</v>
      </c>
    </row>
    <row r="75" spans="1:17" x14ac:dyDescent="0.15">
      <c r="A75" t="s">
        <v>25</v>
      </c>
      <c r="B75" s="3" t="s">
        <v>21</v>
      </c>
      <c r="C75" s="4">
        <v>2.6916000000000002</v>
      </c>
      <c r="D75" s="4">
        <v>1.1456999999999999</v>
      </c>
      <c r="E75" s="4">
        <v>1.2789999999999999</v>
      </c>
      <c r="F75" s="4">
        <v>1.8966000000000001</v>
      </c>
      <c r="G75" s="4">
        <v>7.0129000000000001</v>
      </c>
      <c r="H75" s="4">
        <v>0.38380698427184201</v>
      </c>
      <c r="I75" s="4">
        <v>0.54717734460779399</v>
      </c>
      <c r="J75" s="4">
        <v>0.18237818876641601</v>
      </c>
      <c r="K75" s="4">
        <v>0.27044446662579003</v>
      </c>
      <c r="L75" s="4">
        <v>0.48928301527323498</v>
      </c>
      <c r="M75" s="4">
        <v>1.50575606326071E-2</v>
      </c>
      <c r="N75" s="4">
        <v>0.13500000000000001</v>
      </c>
      <c r="O75" s="4">
        <v>37.728000000000002</v>
      </c>
      <c r="P75" s="4">
        <v>151.171559343854</v>
      </c>
      <c r="Q75" s="4">
        <v>0.54717734460779399</v>
      </c>
    </row>
    <row r="76" spans="1:17" x14ac:dyDescent="0.15">
      <c r="A76" t="s">
        <v>25</v>
      </c>
      <c r="B76" s="3" t="s">
        <v>21</v>
      </c>
      <c r="C76" s="4">
        <v>2.1800999999999999</v>
      </c>
      <c r="D76" s="4">
        <v>0.78490000000000004</v>
      </c>
      <c r="E76" s="4">
        <v>0.69789999999999996</v>
      </c>
      <c r="F76" s="4">
        <v>1.0712999999999999</v>
      </c>
      <c r="G76" s="4">
        <v>4.7342000000000004</v>
      </c>
      <c r="H76" s="4">
        <v>0.46050019010603699</v>
      </c>
      <c r="I76" s="4">
        <v>0.62629377719572499</v>
      </c>
      <c r="J76" s="4">
        <v>0.14741667018714899</v>
      </c>
      <c r="K76" s="4">
        <v>0.22628955261712599</v>
      </c>
      <c r="L76" s="4">
        <v>0.406139929353735</v>
      </c>
      <c r="M76" s="4">
        <v>1.56176513781258E-2</v>
      </c>
      <c r="N76" s="4">
        <v>0.15</v>
      </c>
      <c r="O76" s="4">
        <v>32.601500000000001</v>
      </c>
      <c r="P76" s="4">
        <v>157.417660396055</v>
      </c>
      <c r="Q76" s="4">
        <v>0.62629377719572499</v>
      </c>
    </row>
    <row r="77" spans="1:17" x14ac:dyDescent="0.15">
      <c r="A77" t="s">
        <v>25</v>
      </c>
      <c r="B77" s="3" t="s">
        <v>21</v>
      </c>
      <c r="C77" s="4">
        <v>3.23</v>
      </c>
      <c r="D77" s="4">
        <v>3.2974999999999999</v>
      </c>
      <c r="E77" s="4">
        <v>3.8243999999999998</v>
      </c>
      <c r="F77" s="4">
        <v>3.0983000000000001</v>
      </c>
      <c r="G77" s="4">
        <f>SUM(C77:F77)</f>
        <v>13.450200000000001</v>
      </c>
      <c r="H77" s="4">
        <v>0.53301500993808704</v>
      </c>
      <c r="I77" s="4">
        <v>0.68368554522400704</v>
      </c>
      <c r="J77" s="4">
        <v>0.17474583628429799</v>
      </c>
      <c r="K77" s="4">
        <v>0.141568618491695</v>
      </c>
      <c r="L77" s="4">
        <v>0.50956872947910103</v>
      </c>
      <c r="M77" s="4">
        <v>1.7129723373504799E-2</v>
      </c>
      <c r="N77" s="4">
        <v>0.15</v>
      </c>
      <c r="O77" s="4">
        <v>45.953000000000003</v>
      </c>
      <c r="P77" s="4">
        <v>114.90304640645699</v>
      </c>
      <c r="Q77" s="4">
        <f>(C77+D77)/G77</f>
        <v>0.48530876864284545</v>
      </c>
    </row>
    <row r="78" spans="1:17" x14ac:dyDescent="0.15">
      <c r="A78" t="s">
        <v>25</v>
      </c>
      <c r="B78" s="3" t="s">
        <v>21</v>
      </c>
      <c r="C78" s="4">
        <v>1.8794999999999999</v>
      </c>
      <c r="D78" s="4">
        <v>2.5175999999999998</v>
      </c>
      <c r="E78" s="4">
        <v>1.9591000000000001</v>
      </c>
      <c r="F78" s="4">
        <v>2.3079999999999998</v>
      </c>
      <c r="G78" s="4">
        <v>8.6641999999999992</v>
      </c>
      <c r="H78" s="4">
        <v>0.21692712541261699</v>
      </c>
      <c r="I78" s="4">
        <v>0.50750213522310195</v>
      </c>
      <c r="J78" s="4">
        <v>0.226114355624293</v>
      </c>
      <c r="K78" s="4">
        <v>0.266383509152605</v>
      </c>
      <c r="L78" s="4">
        <v>0.42631618051551801</v>
      </c>
      <c r="M78" s="4">
        <v>1.17447584535932E-2</v>
      </c>
      <c r="N78" s="4">
        <v>0.17</v>
      </c>
      <c r="O78" s="4">
        <v>34.036999999999999</v>
      </c>
      <c r="P78" s="4">
        <v>121.897854258737</v>
      </c>
      <c r="Q78" s="4">
        <v>0.50750213522310195</v>
      </c>
    </row>
    <row r="79" spans="1:17" x14ac:dyDescent="0.15">
      <c r="A79" t="s">
        <v>25</v>
      </c>
      <c r="B79" s="3" t="s">
        <v>22</v>
      </c>
      <c r="C79" s="4">
        <v>0.3533</v>
      </c>
      <c r="D79" s="4">
        <v>1.0701000000000001</v>
      </c>
      <c r="E79" s="4">
        <v>0.94220000000000004</v>
      </c>
      <c r="F79" s="4">
        <v>1.1940999999999999</v>
      </c>
      <c r="G79" s="4">
        <v>3.5596999999999999</v>
      </c>
      <c r="H79" s="4">
        <v>9.9249936792426302E-2</v>
      </c>
      <c r="I79" s="4">
        <v>0.399865157176167</v>
      </c>
      <c r="J79" s="4">
        <v>0.26468522628311397</v>
      </c>
      <c r="K79" s="4">
        <v>0.33544961654071997</v>
      </c>
      <c r="L79" s="4">
        <v>0.35689511643761901</v>
      </c>
      <c r="M79" s="4">
        <v>1.3821971556748599E-2</v>
      </c>
      <c r="N79" s="4">
        <v>0.11</v>
      </c>
      <c r="O79" s="4">
        <v>32.588000000000001</v>
      </c>
      <c r="P79" s="4">
        <v>200.81873934146699</v>
      </c>
      <c r="Q79" s="4">
        <v>0.399865157176167</v>
      </c>
    </row>
    <row r="80" spans="1:17" x14ac:dyDescent="0.15">
      <c r="A80" t="s">
        <v>25</v>
      </c>
      <c r="B80" s="3" t="s">
        <v>22</v>
      </c>
      <c r="C80" s="4">
        <v>1.3205</v>
      </c>
      <c r="D80" s="4">
        <v>2.4020999999999999</v>
      </c>
      <c r="E80" s="4">
        <v>2.3847</v>
      </c>
      <c r="F80" s="4">
        <v>2.87</v>
      </c>
      <c r="G80" s="4">
        <v>8.9772999999999996</v>
      </c>
      <c r="H80" s="4">
        <v>0.147093224020585</v>
      </c>
      <c r="I80" s="4">
        <v>0.41466810733739501</v>
      </c>
      <c r="J80" s="4">
        <v>0.265636661356978</v>
      </c>
      <c r="K80" s="4">
        <v>0.31969523130562599</v>
      </c>
      <c r="L80" s="4">
        <v>0.293789401582633</v>
      </c>
      <c r="M80" s="4">
        <v>1.6768053451823899E-2</v>
      </c>
      <c r="N80" s="4">
        <v>0.13</v>
      </c>
      <c r="O80" s="4">
        <v>27.419499999999999</v>
      </c>
      <c r="P80" s="4">
        <v>227.942037010288</v>
      </c>
      <c r="Q80" s="4">
        <v>0.41466810733739501</v>
      </c>
    </row>
    <row r="81" spans="1:17" x14ac:dyDescent="0.15">
      <c r="A81" t="s">
        <v>25</v>
      </c>
      <c r="B81" s="3" t="s">
        <v>22</v>
      </c>
      <c r="C81" s="4">
        <v>2.3544</v>
      </c>
      <c r="D81" s="4">
        <v>6.319</v>
      </c>
      <c r="E81" s="4">
        <v>6.3658999999999999</v>
      </c>
      <c r="F81" s="4">
        <v>4.4831000000000003</v>
      </c>
      <c r="G81" s="4">
        <v>19.522400000000001</v>
      </c>
      <c r="H81" s="4">
        <v>0.120599926238577</v>
      </c>
      <c r="I81" s="4">
        <v>0.44427939187804799</v>
      </c>
      <c r="J81" s="4">
        <v>0.32608183420071302</v>
      </c>
      <c r="K81" s="4">
        <v>0.22963877392123899</v>
      </c>
      <c r="L81" s="4">
        <v>0.34180213570331602</v>
      </c>
      <c r="M81" s="4">
        <v>2.18217439086461E-2</v>
      </c>
      <c r="N81" s="4">
        <v>0.13500000000000001</v>
      </c>
      <c r="O81" s="4">
        <v>54.192500000000003</v>
      </c>
      <c r="P81" s="4">
        <v>167.72048698569799</v>
      </c>
      <c r="Q81" s="4">
        <v>0.44427939187804799</v>
      </c>
    </row>
    <row r="82" spans="1:17" x14ac:dyDescent="0.15">
      <c r="A82" t="s">
        <v>25</v>
      </c>
      <c r="B82" s="3" t="s">
        <v>22</v>
      </c>
      <c r="C82" s="4">
        <v>1.0486</v>
      </c>
      <c r="D82" s="4">
        <v>3.4054000000000002</v>
      </c>
      <c r="E82" s="4">
        <v>3.6053000000000002</v>
      </c>
      <c r="F82" s="4">
        <v>3.9929000000000001</v>
      </c>
      <c r="G82" s="4">
        <v>12.052199999999999</v>
      </c>
      <c r="H82" s="4">
        <v>8.7004862182837997E-2</v>
      </c>
      <c r="I82" s="4">
        <v>0.369559084648446</v>
      </c>
      <c r="J82" s="4">
        <v>0.299140405900997</v>
      </c>
      <c r="K82" s="4">
        <v>0.331300509450557</v>
      </c>
      <c r="L82" s="4">
        <v>0.43931969718123198</v>
      </c>
      <c r="M82" s="4">
        <v>2.09179202090874E-2</v>
      </c>
      <c r="N82" s="4">
        <v>0.125</v>
      </c>
      <c r="O82" s="4">
        <v>38.055</v>
      </c>
      <c r="P82" s="4">
        <v>148.63917989593099</v>
      </c>
      <c r="Q82" s="4">
        <v>0.369559084648446</v>
      </c>
    </row>
    <row r="83" spans="1:17" x14ac:dyDescent="0.15">
      <c r="A83" t="s">
        <v>25</v>
      </c>
      <c r="B83" s="3" t="s">
        <v>22</v>
      </c>
      <c r="C83" s="4">
        <v>0.52749999999999997</v>
      </c>
      <c r="D83" s="4">
        <v>2.3035000000000001</v>
      </c>
      <c r="E83" s="4">
        <v>2.6442000000000001</v>
      </c>
      <c r="F83" s="4">
        <v>3.1959</v>
      </c>
      <c r="G83" s="4">
        <v>8.6710999999999991</v>
      </c>
      <c r="H83" s="4">
        <v>6.0834265548777001E-2</v>
      </c>
      <c r="I83" s="4">
        <v>0.32648683558026098</v>
      </c>
      <c r="J83" s="4">
        <v>0.30494400941057098</v>
      </c>
      <c r="K83" s="4">
        <v>0.36856915500916798</v>
      </c>
      <c r="L83" s="4">
        <v>0.39195079053217802</v>
      </c>
      <c r="M83" s="4">
        <v>1.90133920035058E-2</v>
      </c>
      <c r="N83" s="4">
        <v>0.155</v>
      </c>
      <c r="O83" s="4">
        <v>63.828000000000003</v>
      </c>
      <c r="P83" s="4">
        <v>127.682563119175</v>
      </c>
      <c r="Q83" s="4">
        <v>0.32648683558026098</v>
      </c>
    </row>
    <row r="84" spans="1:17" x14ac:dyDescent="0.15">
      <c r="A84" t="s">
        <v>25</v>
      </c>
      <c r="B84" s="3" t="s">
        <v>22</v>
      </c>
      <c r="C84" s="4">
        <v>0.1071</v>
      </c>
      <c r="D84" s="4">
        <v>0.39360000000000001</v>
      </c>
      <c r="E84" s="4">
        <v>0.41649999999999998</v>
      </c>
      <c r="F84" s="4">
        <v>0.53310000000000002</v>
      </c>
      <c r="G84" s="4">
        <v>1.4502999999999999</v>
      </c>
      <c r="H84" s="4">
        <v>7.3846790319244293E-2</v>
      </c>
      <c r="I84" s="4">
        <v>0.34523891608632701</v>
      </c>
      <c r="J84" s="4">
        <v>0.287181962352617</v>
      </c>
      <c r="K84" s="4">
        <v>0.36757912156105599</v>
      </c>
      <c r="L84" s="4">
        <v>0.37164672644191898</v>
      </c>
      <c r="M84" s="4">
        <v>1.6073176069127101E-2</v>
      </c>
      <c r="N84" s="4">
        <v>0.115</v>
      </c>
      <c r="O84" s="4">
        <v>12.5465</v>
      </c>
      <c r="P84" s="4">
        <v>214.47651981969099</v>
      </c>
      <c r="Q84" s="4">
        <v>0.34523891608632701</v>
      </c>
    </row>
    <row r="85" spans="1:17" x14ac:dyDescent="0.15">
      <c r="A85" t="s">
        <v>25</v>
      </c>
      <c r="B85" s="3" t="s">
        <v>22</v>
      </c>
      <c r="C85" s="4">
        <v>0.30609999999999998</v>
      </c>
      <c r="D85" s="4">
        <v>1.2223999999999999</v>
      </c>
      <c r="E85" s="4">
        <v>1.1636</v>
      </c>
      <c r="F85" s="4">
        <v>1.3496999999999999</v>
      </c>
      <c r="G85" s="4">
        <v>4.0418000000000003</v>
      </c>
      <c r="H85" s="4">
        <v>7.5733584046711794E-2</v>
      </c>
      <c r="I85" s="4">
        <v>0.378173091196991</v>
      </c>
      <c r="J85" s="4">
        <v>0.28789153347518398</v>
      </c>
      <c r="K85" s="4">
        <v>0.33393537532782402</v>
      </c>
      <c r="L85" s="4">
        <v>0.405761859645485</v>
      </c>
      <c r="M85" s="4">
        <v>1.2264554912210001E-2</v>
      </c>
      <c r="N85" s="4">
        <v>0.125</v>
      </c>
      <c r="O85" s="4">
        <v>42.957000000000001</v>
      </c>
      <c r="P85" s="4">
        <v>154.65179124348899</v>
      </c>
      <c r="Q85" s="4">
        <v>0.378173091196991</v>
      </c>
    </row>
    <row r="86" spans="1:17" x14ac:dyDescent="0.15">
      <c r="A86" t="s">
        <v>25</v>
      </c>
      <c r="B86" s="3" t="s">
        <v>23</v>
      </c>
      <c r="C86" s="4">
        <v>0.6371</v>
      </c>
      <c r="D86" s="4">
        <v>2.1214</v>
      </c>
      <c r="E86" s="4">
        <v>2.5364</v>
      </c>
      <c r="F86" s="4">
        <v>2.7488999999999999</v>
      </c>
      <c r="G86" s="4">
        <v>8.0437999999999992</v>
      </c>
      <c r="H86" s="4">
        <v>7.9203858872672103E-2</v>
      </c>
      <c r="I86" s="4">
        <v>0.34293493125139901</v>
      </c>
      <c r="J86" s="4">
        <v>0.31532360327208497</v>
      </c>
      <c r="K86" s="4">
        <v>0.34174146547651602</v>
      </c>
      <c r="L86" s="4">
        <v>0.56059648079148405</v>
      </c>
      <c r="M86" s="4">
        <v>1.6845099896654499E-2</v>
      </c>
      <c r="N86" s="4">
        <v>0.13</v>
      </c>
      <c r="O86" s="4">
        <v>51.159500000000001</v>
      </c>
      <c r="P86" s="4">
        <v>244.09904302709199</v>
      </c>
      <c r="Q86" s="4">
        <v>0.34293493125139901</v>
      </c>
    </row>
    <row r="87" spans="1:17" x14ac:dyDescent="0.15">
      <c r="A87" t="s">
        <v>25</v>
      </c>
      <c r="B87" s="3" t="s">
        <v>23</v>
      </c>
      <c r="C87" s="4">
        <v>5.3049999999999997</v>
      </c>
      <c r="D87" s="4">
        <v>3.0823999999999998</v>
      </c>
      <c r="E87" s="4">
        <v>4.3159999999999998</v>
      </c>
      <c r="F87" s="4">
        <v>4.2595999999999998</v>
      </c>
      <c r="G87" s="4">
        <v>16.963000000000001</v>
      </c>
      <c r="H87" s="4">
        <v>0.31273949183517102</v>
      </c>
      <c r="I87" s="4">
        <v>0.49445263219949298</v>
      </c>
      <c r="J87" s="4">
        <v>0.25443612568531498</v>
      </c>
      <c r="K87" s="4">
        <v>0.25111124211519198</v>
      </c>
      <c r="L87" s="4">
        <v>0.49244559896234202</v>
      </c>
      <c r="M87" s="4">
        <v>1.3381515192400901E-2</v>
      </c>
      <c r="N87" s="4">
        <v>0.15</v>
      </c>
      <c r="O87" s="4">
        <v>54.589500000000001</v>
      </c>
      <c r="P87" s="4">
        <v>145.701123191036</v>
      </c>
      <c r="Q87" s="4">
        <v>0.49445263219949298</v>
      </c>
    </row>
    <row r="88" spans="1:17" x14ac:dyDescent="0.15">
      <c r="A88" t="s">
        <v>25</v>
      </c>
      <c r="B88" s="3" t="s">
        <v>23</v>
      </c>
      <c r="C88" s="4">
        <v>8.1999999999999795E-2</v>
      </c>
      <c r="D88" s="4">
        <v>5.8500000000000003E-2</v>
      </c>
      <c r="E88" s="4">
        <v>8.6199999999999805E-2</v>
      </c>
      <c r="F88" s="4">
        <v>0.14230000000000001</v>
      </c>
      <c r="G88" s="4">
        <v>0.36899999999999999</v>
      </c>
      <c r="H88" s="4">
        <v>0.22222222222222199</v>
      </c>
      <c r="I88" s="4">
        <v>0.38075880758807601</v>
      </c>
      <c r="J88" s="4">
        <v>0.23360433604336001</v>
      </c>
      <c r="K88" s="4">
        <v>0.38563685636856398</v>
      </c>
      <c r="L88" s="4">
        <v>0.50004529173050505</v>
      </c>
      <c r="M88" s="4">
        <v>6.9611879821405401E-4</v>
      </c>
      <c r="N88" s="4">
        <v>0.14000000000000001</v>
      </c>
      <c r="O88" s="4">
        <v>5.0640000000000001</v>
      </c>
      <c r="P88" s="4">
        <v>163.441088588355</v>
      </c>
      <c r="Q88" s="4">
        <v>0.38075880758807601</v>
      </c>
    </row>
    <row r="89" spans="1:17" x14ac:dyDescent="0.15">
      <c r="A89" t="s">
        <v>25</v>
      </c>
      <c r="B89" s="3" t="s">
        <v>23</v>
      </c>
      <c r="C89" s="4">
        <v>2.1911</v>
      </c>
      <c r="D89" s="4">
        <v>0.79179999999999995</v>
      </c>
      <c r="E89" s="4">
        <v>2.9205999999999999</v>
      </c>
      <c r="F89" s="4">
        <v>3.7374999999999998</v>
      </c>
      <c r="G89" s="4">
        <v>9.641</v>
      </c>
      <c r="H89" s="4">
        <v>0.227268955502541</v>
      </c>
      <c r="I89" s="4">
        <v>0.30939736541852503</v>
      </c>
      <c r="J89" s="4">
        <v>0.30293538014728799</v>
      </c>
      <c r="K89" s="4">
        <v>0.38766725443418698</v>
      </c>
      <c r="L89" s="4">
        <v>0.47112683555047702</v>
      </c>
      <c r="M89" s="4">
        <v>1.48756792466187E-2</v>
      </c>
      <c r="N89" s="4">
        <v>0.15</v>
      </c>
      <c r="O89" s="4">
        <v>30.53</v>
      </c>
      <c r="P89" s="4">
        <v>86.663459289581098</v>
      </c>
      <c r="Q89" s="4">
        <v>0.30939736541852503</v>
      </c>
    </row>
    <row r="90" spans="1:17" x14ac:dyDescent="0.15">
      <c r="A90" t="s">
        <v>25</v>
      </c>
      <c r="B90" s="3" t="s">
        <v>23</v>
      </c>
      <c r="C90" s="4">
        <v>1.6052</v>
      </c>
      <c r="D90" s="4">
        <v>1.4075</v>
      </c>
      <c r="E90" s="4">
        <v>1.5347</v>
      </c>
      <c r="F90" s="4">
        <v>1.7311000000000001</v>
      </c>
      <c r="G90" s="4">
        <v>6.2785000000000002</v>
      </c>
      <c r="H90" s="4">
        <v>0.25566616229991201</v>
      </c>
      <c r="I90" s="4">
        <v>0.47984391176236402</v>
      </c>
      <c r="J90" s="4">
        <v>0.24443736561280599</v>
      </c>
      <c r="K90" s="4">
        <v>0.27571872262483099</v>
      </c>
      <c r="L90" s="4">
        <v>0.36173935457636902</v>
      </c>
      <c r="M90" s="4">
        <v>1.9463489869733199E-2</v>
      </c>
      <c r="N90" s="4">
        <v>0.14000000000000001</v>
      </c>
      <c r="O90" s="4">
        <v>23.155000000000001</v>
      </c>
      <c r="P90" s="4">
        <v>187.32151567774301</v>
      </c>
      <c r="Q90" s="4">
        <v>0.47984391176236402</v>
      </c>
    </row>
    <row r="91" spans="1:17" x14ac:dyDescent="0.15">
      <c r="A91" t="s">
        <v>25</v>
      </c>
      <c r="B91" s="3" t="s">
        <v>23</v>
      </c>
      <c r="C91" s="4">
        <v>0.96870000000000001</v>
      </c>
      <c r="D91" s="4">
        <v>2.9420000000000002</v>
      </c>
      <c r="E91" s="4">
        <v>3.2269000000000001</v>
      </c>
      <c r="F91" s="4">
        <v>4.1654</v>
      </c>
      <c r="G91" s="4">
        <v>11.303000000000001</v>
      </c>
      <c r="H91" s="4">
        <v>8.5702910731664098E-2</v>
      </c>
      <c r="I91" s="4">
        <v>0.345987790851986</v>
      </c>
      <c r="J91" s="4">
        <v>0.28549057772272801</v>
      </c>
      <c r="K91" s="4">
        <v>0.36852163142528499</v>
      </c>
      <c r="L91" s="4">
        <v>0.44164647208383601</v>
      </c>
      <c r="M91" s="4">
        <v>1.6259571282846701E-2</v>
      </c>
      <c r="N91" s="4">
        <v>0.15</v>
      </c>
      <c r="O91" s="4">
        <v>59.8155</v>
      </c>
      <c r="P91" s="4">
        <v>131.55121938757699</v>
      </c>
      <c r="Q91" s="4">
        <v>0.345987790851986</v>
      </c>
    </row>
    <row r="92" spans="1:17" x14ac:dyDescent="0.15">
      <c r="A92" t="s">
        <v>25</v>
      </c>
      <c r="B92" s="3" t="s">
        <v>23</v>
      </c>
      <c r="C92" s="4">
        <v>0.14149999999999999</v>
      </c>
      <c r="D92" s="4">
        <v>0.33729999999999999</v>
      </c>
      <c r="E92" s="4">
        <v>0.24030000000000001</v>
      </c>
      <c r="F92" s="4">
        <v>0.16639999999999999</v>
      </c>
      <c r="G92" s="4">
        <v>0.88549999999999995</v>
      </c>
      <c r="H92" s="4">
        <v>0.15979672501411599</v>
      </c>
      <c r="I92" s="4">
        <v>0.54071146245059298</v>
      </c>
      <c r="J92" s="4">
        <v>0.27137210615471502</v>
      </c>
      <c r="K92" s="4">
        <v>0.187916431394692</v>
      </c>
      <c r="L92" s="4">
        <v>0.43656787701037197</v>
      </c>
      <c r="M92" s="4">
        <v>3.6537520978524498E-3</v>
      </c>
      <c r="N92" s="4">
        <v>0.125</v>
      </c>
      <c r="O92" s="4">
        <v>10.4945</v>
      </c>
      <c r="P92" s="4">
        <v>170.66848042138699</v>
      </c>
      <c r="Q92" s="4">
        <v>0.54071146245059298</v>
      </c>
    </row>
    <row r="93" spans="1:17" x14ac:dyDescent="0.15">
      <c r="A93" s="5" t="s">
        <v>25</v>
      </c>
      <c r="B93" s="3" t="s">
        <v>24</v>
      </c>
      <c r="C93" s="4">
        <v>8.9300000000000004E-2</v>
      </c>
      <c r="D93" s="4">
        <v>0.309</v>
      </c>
      <c r="E93" s="4">
        <v>0.30840000000000001</v>
      </c>
      <c r="F93" s="4">
        <v>0.32019999999999998</v>
      </c>
      <c r="G93" s="4">
        <v>1.0268999999999999</v>
      </c>
      <c r="H93" s="4">
        <v>8.6960755672412099E-2</v>
      </c>
      <c r="I93" s="4">
        <v>0.30090563832895101</v>
      </c>
      <c r="J93" s="4">
        <v>0.30032135553607903</v>
      </c>
      <c r="K93" s="4">
        <v>0.31181225046255701</v>
      </c>
      <c r="L93" s="4">
        <v>0.38763832241799401</v>
      </c>
      <c r="M93" s="4">
        <v>1.0644285169643899E-2</v>
      </c>
      <c r="N93" s="4">
        <v>0.12</v>
      </c>
      <c r="O93" s="4">
        <v>11.784000000000001</v>
      </c>
      <c r="P93" s="4">
        <v>155.10490588409701</v>
      </c>
      <c r="Q93" s="4">
        <v>0.38786639400136302</v>
      </c>
    </row>
    <row r="94" spans="1:17" x14ac:dyDescent="0.15">
      <c r="A94" t="s">
        <v>25</v>
      </c>
      <c r="B94" s="3" t="s">
        <v>24</v>
      </c>
      <c r="C94" s="4">
        <v>3.0200000000000001E-2</v>
      </c>
      <c r="D94" s="4">
        <v>0.56799999999999995</v>
      </c>
      <c r="E94" s="4">
        <v>0.72919999999999996</v>
      </c>
      <c r="F94" s="4">
        <v>0.41099999999999998</v>
      </c>
      <c r="G94" s="4">
        <v>1.7383999999999999</v>
      </c>
      <c r="H94" s="4">
        <v>1.73722963644731E-2</v>
      </c>
      <c r="I94" s="4">
        <v>0.32673722963644702</v>
      </c>
      <c r="J94" s="4">
        <v>0.419466175793833</v>
      </c>
      <c r="K94" s="4">
        <v>0.23642429820524599</v>
      </c>
      <c r="L94" s="4">
        <v>0.41507095914783798</v>
      </c>
      <c r="M94" s="4">
        <v>5.5089281905905899E-3</v>
      </c>
      <c r="N94" s="4">
        <v>8.5000000000000006E-2</v>
      </c>
      <c r="O94" s="4">
        <v>11.794</v>
      </c>
      <c r="P94" s="4">
        <v>188.537522371758</v>
      </c>
      <c r="Q94" s="4">
        <v>0.34410952600091999</v>
      </c>
    </row>
    <row r="95" spans="1:17" x14ac:dyDescent="0.15">
      <c r="A95" t="s">
        <v>25</v>
      </c>
      <c r="B95" s="3" t="s">
        <v>24</v>
      </c>
      <c r="C95" s="4">
        <v>0.10390000000000001</v>
      </c>
      <c r="D95" s="4">
        <v>0.50549999999999995</v>
      </c>
      <c r="E95" s="4">
        <v>0.56430000000000002</v>
      </c>
      <c r="F95" s="4">
        <v>0.38069999999999998</v>
      </c>
      <c r="G95" s="4">
        <v>1.5544</v>
      </c>
      <c r="H95" s="4">
        <v>6.6842511580030906E-2</v>
      </c>
      <c r="I95" s="4">
        <v>0.32520586721564598</v>
      </c>
      <c r="J95" s="4">
        <v>0.36303396809058203</v>
      </c>
      <c r="K95" s="4">
        <v>0.244917653113742</v>
      </c>
      <c r="L95" s="4">
        <v>0.23158524392146901</v>
      </c>
      <c r="M95" s="4">
        <v>1.2673133621609101E-2</v>
      </c>
      <c r="N95" s="4">
        <v>0.09</v>
      </c>
      <c r="O95" s="4">
        <v>16.460999999999999</v>
      </c>
      <c r="P95" s="4">
        <v>461.389516144597</v>
      </c>
      <c r="Q95" s="4">
        <v>0.392048378795677</v>
      </c>
    </row>
    <row r="96" spans="1:17" x14ac:dyDescent="0.15">
      <c r="A96" t="s">
        <v>25</v>
      </c>
      <c r="B96" s="3" t="s">
        <v>24</v>
      </c>
      <c r="C96" s="4">
        <v>0.41370000000000001</v>
      </c>
      <c r="D96" s="4">
        <v>1.5083</v>
      </c>
      <c r="E96" s="4">
        <v>1.7361</v>
      </c>
      <c r="F96" s="4">
        <v>1.0946</v>
      </c>
      <c r="G96" s="4">
        <v>4.7526999999999999</v>
      </c>
      <c r="H96" s="4">
        <v>8.7045258484650806E-2</v>
      </c>
      <c r="I96" s="4">
        <v>0.31735645001788498</v>
      </c>
      <c r="J96" s="4">
        <v>0.36528709996423098</v>
      </c>
      <c r="K96" s="4">
        <v>0.23031119153323401</v>
      </c>
      <c r="L96" s="4">
        <v>0.48399956745221401</v>
      </c>
      <c r="M96" s="4">
        <v>1.55281170235791E-2</v>
      </c>
      <c r="N96" s="4">
        <v>0.09</v>
      </c>
      <c r="O96" s="4">
        <v>36.442500000000003</v>
      </c>
      <c r="P96" s="4">
        <v>186.67272284518401</v>
      </c>
      <c r="Q96" s="4">
        <v>0.40440170850253498</v>
      </c>
    </row>
    <row r="97" spans="1:17" x14ac:dyDescent="0.15">
      <c r="A97" t="s">
        <v>25</v>
      </c>
      <c r="B97" s="3" t="s">
        <v>24</v>
      </c>
      <c r="C97" s="4">
        <v>0.1108</v>
      </c>
      <c r="D97" s="4">
        <v>0.4607</v>
      </c>
      <c r="E97" s="4">
        <v>1.3261000000000001</v>
      </c>
      <c r="F97" s="4">
        <v>2.7881999999999998</v>
      </c>
      <c r="G97" s="4">
        <v>4.6858000000000004</v>
      </c>
      <c r="H97" s="4">
        <v>2.36459089163003E-2</v>
      </c>
      <c r="I97" s="4">
        <v>9.8318323445302794E-2</v>
      </c>
      <c r="J97" s="4">
        <v>0.283003969439583</v>
      </c>
      <c r="K97" s="4">
        <v>0.59503179819881302</v>
      </c>
      <c r="L97" s="4">
        <v>0.43791000943276998</v>
      </c>
      <c r="M97" s="4">
        <v>1.8322788033669001E-2</v>
      </c>
      <c r="N97" s="4">
        <v>0.125</v>
      </c>
      <c r="O97" s="4">
        <v>20.992000000000001</v>
      </c>
      <c r="P97" s="4">
        <v>148.21349737064199</v>
      </c>
      <c r="Q97" s="4">
        <v>0.121964232361603</v>
      </c>
    </row>
    <row r="98" spans="1:17" x14ac:dyDescent="0.15">
      <c r="A98" t="s">
        <v>25</v>
      </c>
      <c r="B98" s="3" t="s">
        <v>24</v>
      </c>
      <c r="C98" s="4">
        <v>0.60509999999999997</v>
      </c>
      <c r="D98" s="4">
        <v>3.3094000000000001</v>
      </c>
      <c r="E98" s="4">
        <v>2.4154</v>
      </c>
      <c r="F98" s="4">
        <v>2.9802</v>
      </c>
      <c r="G98" s="4">
        <v>9.3101000000000003</v>
      </c>
      <c r="H98" s="4">
        <v>6.4993931321897694E-2</v>
      </c>
      <c r="I98" s="4">
        <v>0.35546342144552701</v>
      </c>
      <c r="J98" s="4">
        <v>0.25943867412809701</v>
      </c>
      <c r="K98" s="4">
        <v>0.32010397310447802</v>
      </c>
      <c r="L98" s="4">
        <v>0.41983590937374599</v>
      </c>
      <c r="M98" s="4">
        <v>2.0075136076948399E-2</v>
      </c>
      <c r="N98" s="4">
        <v>0.125</v>
      </c>
      <c r="O98" s="4">
        <v>29.436499999999999</v>
      </c>
      <c r="P98" s="4">
        <v>128.11296583850901</v>
      </c>
      <c r="Q98" s="4">
        <v>0.42045735276742502</v>
      </c>
    </row>
    <row r="99" spans="1:17" x14ac:dyDescent="0.15">
      <c r="A99" t="s">
        <v>25</v>
      </c>
      <c r="B99" s="3" t="s">
        <v>24</v>
      </c>
      <c r="C99" s="4">
        <v>0.22009999999999999</v>
      </c>
      <c r="D99" s="4">
        <v>0.28539999999999999</v>
      </c>
      <c r="E99" s="4">
        <v>0.22309999999999999</v>
      </c>
      <c r="F99" s="4">
        <v>0.15029999999999999</v>
      </c>
      <c r="G99" s="4">
        <v>0.87890000000000001</v>
      </c>
      <c r="H99" s="4">
        <v>0.25042666970076199</v>
      </c>
      <c r="I99" s="4">
        <v>0.32472408692684002</v>
      </c>
      <c r="J99" s="4">
        <v>0.253840027306861</v>
      </c>
      <c r="K99" s="4">
        <v>0.17100921606553601</v>
      </c>
      <c r="L99" s="4">
        <v>0.40553796485999899</v>
      </c>
      <c r="M99" s="4">
        <v>5.0693745619070103E-3</v>
      </c>
      <c r="N99" s="4">
        <v>0.14499999999999999</v>
      </c>
      <c r="O99" s="4">
        <v>7.3734999999999999</v>
      </c>
      <c r="P99" s="4">
        <v>149.05217391304299</v>
      </c>
      <c r="Q99" s="4">
        <v>0.57515075662760295</v>
      </c>
    </row>
    <row r="100" spans="1:17" x14ac:dyDescent="0.15">
      <c r="A100" t="s">
        <v>26</v>
      </c>
      <c r="B100" s="3" t="s">
        <v>18</v>
      </c>
      <c r="C100" s="4">
        <v>5.3982999999999999</v>
      </c>
      <c r="D100" s="4">
        <v>3.8336999999999999</v>
      </c>
      <c r="E100" s="4">
        <v>9.0094999999999992</v>
      </c>
      <c r="F100" s="4">
        <v>10.9832</v>
      </c>
      <c r="G100" s="4">
        <v>29.224699999999999</v>
      </c>
      <c r="H100" s="4">
        <v>0.18471703730064001</v>
      </c>
      <c r="I100" s="4">
        <v>0.31589716917538901</v>
      </c>
      <c r="J100" s="4">
        <v>0.30828374628311001</v>
      </c>
      <c r="K100" s="4">
        <v>0.37581908454150098</v>
      </c>
      <c r="L100" s="4">
        <v>0.44369753668264</v>
      </c>
      <c r="M100" s="4">
        <v>1.1875342934403999E-2</v>
      </c>
      <c r="N100" s="4">
        <v>0.13</v>
      </c>
      <c r="O100" s="4">
        <v>79.028000000000006</v>
      </c>
      <c r="P100" s="4">
        <v>161.49013228354599</v>
      </c>
      <c r="Q100" s="4">
        <v>0.31589716917538901</v>
      </c>
    </row>
    <row r="101" spans="1:17" x14ac:dyDescent="0.15">
      <c r="A101" t="s">
        <v>26</v>
      </c>
      <c r="B101" s="3" t="s">
        <v>18</v>
      </c>
      <c r="C101" s="4">
        <v>3.3879999999999999</v>
      </c>
      <c r="D101" s="4">
        <v>5.8254999999999999</v>
      </c>
      <c r="E101" s="4">
        <v>8.1411999999999995</v>
      </c>
      <c r="F101" s="4">
        <v>8.9046000000000003</v>
      </c>
      <c r="G101" s="4">
        <v>26.2593</v>
      </c>
      <c r="H101" s="4">
        <v>0.12902095638497599</v>
      </c>
      <c r="I101" s="4">
        <v>0.35086616931906001</v>
      </c>
      <c r="J101" s="4">
        <v>0.31003111278670797</v>
      </c>
      <c r="K101" s="4">
        <v>0.33910271789423202</v>
      </c>
      <c r="L101" s="4">
        <v>0.48046375291537302</v>
      </c>
      <c r="M101" s="4">
        <v>1.05073579053512E-2</v>
      </c>
      <c r="N101" s="4">
        <v>0.155</v>
      </c>
      <c r="O101" s="4">
        <v>98.787000000000006</v>
      </c>
      <c r="P101" s="4">
        <v>127.92293506112</v>
      </c>
      <c r="Q101" s="4">
        <v>0.35086616931906001</v>
      </c>
    </row>
    <row r="102" spans="1:17" x14ac:dyDescent="0.15">
      <c r="A102" t="s">
        <v>26</v>
      </c>
      <c r="B102" s="3" t="s">
        <v>18</v>
      </c>
      <c r="C102" s="4">
        <v>4.2211999999999996</v>
      </c>
      <c r="D102" s="4">
        <v>4.8422999999999998</v>
      </c>
      <c r="E102" s="4">
        <v>10.650700000000001</v>
      </c>
      <c r="F102" s="4">
        <v>11.873200000000001</v>
      </c>
      <c r="G102" s="4">
        <v>31.587399999999999</v>
      </c>
      <c r="H102" s="4">
        <v>0.13363556354749001</v>
      </c>
      <c r="I102" s="4">
        <v>0.28693403065779399</v>
      </c>
      <c r="J102" s="4">
        <v>0.33718191430760402</v>
      </c>
      <c r="K102" s="4">
        <v>0.37588405503460198</v>
      </c>
      <c r="L102" s="4">
        <v>0.42920658338240403</v>
      </c>
      <c r="M102" s="4">
        <v>1.1561516828181E-2</v>
      </c>
      <c r="N102" s="4">
        <v>0.18</v>
      </c>
      <c r="O102" s="4">
        <v>110.90049999999999</v>
      </c>
      <c r="P102" s="4">
        <v>136.18560202321899</v>
      </c>
      <c r="Q102" s="4">
        <v>0.28693403065779399</v>
      </c>
    </row>
    <row r="103" spans="1:17" x14ac:dyDescent="0.15">
      <c r="A103" t="s">
        <v>26</v>
      </c>
      <c r="B103" s="3" t="s">
        <v>18</v>
      </c>
      <c r="C103" s="4">
        <v>4.3220000000000001</v>
      </c>
      <c r="D103" s="4">
        <v>8.0538000000000007</v>
      </c>
      <c r="E103" s="4">
        <v>23.461099999999998</v>
      </c>
      <c r="F103" s="4">
        <v>16.568529999999999</v>
      </c>
      <c r="G103" s="4">
        <v>52.405430000000003</v>
      </c>
      <c r="H103" s="4">
        <v>8.24723697525237E-2</v>
      </c>
      <c r="I103" s="4">
        <v>0.23615491753430901</v>
      </c>
      <c r="J103" s="4">
        <v>0.44768452429452399</v>
      </c>
      <c r="K103" s="4">
        <v>0.31616055817116701</v>
      </c>
      <c r="L103" s="4">
        <v>0.41382817266857302</v>
      </c>
      <c r="M103" s="4">
        <v>1.64160571209718E-2</v>
      </c>
      <c r="N103" s="4">
        <v>0.2</v>
      </c>
      <c r="O103" s="4">
        <v>141.3725</v>
      </c>
      <c r="P103" s="4">
        <v>118.835414301814</v>
      </c>
      <c r="Q103" s="4">
        <v>0.23615491753430901</v>
      </c>
    </row>
    <row r="104" spans="1:17" x14ac:dyDescent="0.15">
      <c r="A104" t="s">
        <v>26</v>
      </c>
      <c r="B104" s="3" t="s">
        <v>18</v>
      </c>
      <c r="C104" s="4">
        <v>5.0861000000000001</v>
      </c>
      <c r="D104" s="4">
        <v>6.0730000000000004</v>
      </c>
      <c r="E104" s="4">
        <v>14.179399999999999</v>
      </c>
      <c r="F104" s="4">
        <v>14.2211</v>
      </c>
      <c r="G104" s="4">
        <v>39.559600000000003</v>
      </c>
      <c r="H104" s="4">
        <v>0.12856803405494499</v>
      </c>
      <c r="I104" s="4">
        <v>0.28208323643312899</v>
      </c>
      <c r="J104" s="4">
        <v>0.35843132893153601</v>
      </c>
      <c r="K104" s="4">
        <v>0.359485434635335</v>
      </c>
      <c r="L104" s="4">
        <v>0.51862757162724804</v>
      </c>
      <c r="M104" s="4">
        <v>1.3547695356599099E-2</v>
      </c>
      <c r="N104" s="4">
        <v>0.17</v>
      </c>
      <c r="O104" s="4">
        <v>74.316500000000005</v>
      </c>
      <c r="P104" s="4">
        <v>106.84545706661901</v>
      </c>
      <c r="Q104" s="4">
        <v>0.28208323643312899</v>
      </c>
    </row>
    <row r="105" spans="1:17" x14ac:dyDescent="0.15">
      <c r="A105" t="s">
        <v>26</v>
      </c>
      <c r="B105" s="3" t="s">
        <v>18</v>
      </c>
      <c r="C105" s="4">
        <v>2.4741</v>
      </c>
      <c r="D105" s="4">
        <v>5.0368000000000004</v>
      </c>
      <c r="E105" s="4">
        <v>13.9785</v>
      </c>
      <c r="F105" s="4">
        <v>12.25741</v>
      </c>
      <c r="G105" s="4">
        <v>33.746810000000004</v>
      </c>
      <c r="H105" s="4">
        <v>7.33135961591629E-2</v>
      </c>
      <c r="I105" s="4">
        <v>0.222566221814743</v>
      </c>
      <c r="J105" s="4">
        <v>0.41421692894824702</v>
      </c>
      <c r="K105" s="4">
        <v>0.36321684923700898</v>
      </c>
      <c r="L105" s="4">
        <v>0.43812951688221702</v>
      </c>
      <c r="M105" s="4">
        <v>1.5673665133941798E-2</v>
      </c>
      <c r="N105" s="4">
        <v>0.16</v>
      </c>
      <c r="O105" s="4">
        <v>84.052000000000007</v>
      </c>
      <c r="P105" s="4">
        <v>136.584470664984</v>
      </c>
      <c r="Q105" s="4">
        <v>0.222566221814743</v>
      </c>
    </row>
    <row r="106" spans="1:17" x14ac:dyDescent="0.15">
      <c r="A106" t="s">
        <v>26</v>
      </c>
      <c r="B106" s="3" t="s">
        <v>18</v>
      </c>
      <c r="C106" s="4">
        <v>3.2595999999999998</v>
      </c>
      <c r="D106" s="4">
        <v>4.5728999999999997</v>
      </c>
      <c r="E106" s="4">
        <v>11.1762</v>
      </c>
      <c r="F106" s="4">
        <v>10.081099999999999</v>
      </c>
      <c r="G106" s="4">
        <v>29.0898</v>
      </c>
      <c r="H106" s="4">
        <v>0.112053022021465</v>
      </c>
      <c r="I106" s="4">
        <v>0.26925245274976101</v>
      </c>
      <c r="J106" s="4">
        <v>0.38419652249241998</v>
      </c>
      <c r="K106" s="4">
        <v>0.34655102475781902</v>
      </c>
      <c r="L106" s="4">
        <v>0.44335049853160502</v>
      </c>
      <c r="M106" s="4">
        <v>9.6380549405624006E-3</v>
      </c>
      <c r="N106" s="4">
        <v>0.15</v>
      </c>
      <c r="O106" s="4">
        <v>105.212</v>
      </c>
      <c r="P106" s="4">
        <v>121.482803571663</v>
      </c>
      <c r="Q106" s="4">
        <v>0.26925245274976101</v>
      </c>
    </row>
    <row r="107" spans="1:17" x14ac:dyDescent="0.15">
      <c r="A107" t="s">
        <v>26</v>
      </c>
      <c r="B107" s="3" t="s">
        <v>19</v>
      </c>
      <c r="C107" s="4">
        <v>2.1928000000000001</v>
      </c>
      <c r="D107" s="4">
        <v>2.6486000000000001</v>
      </c>
      <c r="E107" s="4">
        <v>6.8090999999999999</v>
      </c>
      <c r="F107" s="4">
        <v>7.1131000000000002</v>
      </c>
      <c r="G107" s="4">
        <v>18.7636</v>
      </c>
      <c r="H107" s="4">
        <v>0.116864567566991</v>
      </c>
      <c r="I107" s="4">
        <v>0.25802084887761401</v>
      </c>
      <c r="J107" s="4">
        <v>0.36288878466818703</v>
      </c>
      <c r="K107" s="4">
        <v>0.37909036645419902</v>
      </c>
      <c r="L107" s="4">
        <v>0.43386796118909299</v>
      </c>
      <c r="M107" s="4">
        <v>8.2780106901008503E-3</v>
      </c>
      <c r="N107" s="4">
        <v>0.155</v>
      </c>
      <c r="O107" s="4">
        <v>82.266999999999996</v>
      </c>
      <c r="P107" s="4">
        <v>160.27059384752599</v>
      </c>
      <c r="Q107" s="4">
        <v>0.25802084887761401</v>
      </c>
    </row>
    <row r="108" spans="1:17" x14ac:dyDescent="0.15">
      <c r="A108" t="s">
        <v>26</v>
      </c>
      <c r="B108" s="3" t="s">
        <v>19</v>
      </c>
      <c r="C108" s="4">
        <v>2.5049999999999999</v>
      </c>
      <c r="D108" s="4">
        <v>3.3176999999999999</v>
      </c>
      <c r="E108" s="4">
        <v>7.5667999999999997</v>
      </c>
      <c r="F108" s="4">
        <v>8.8424999999999994</v>
      </c>
      <c r="G108" s="4">
        <v>22.231999999999999</v>
      </c>
      <c r="H108" s="4">
        <v>0.11267542281396201</v>
      </c>
      <c r="I108" s="4">
        <v>0.26190626124505201</v>
      </c>
      <c r="J108" s="4">
        <v>0.34035624325296898</v>
      </c>
      <c r="K108" s="4">
        <v>0.39773749550197901</v>
      </c>
      <c r="L108" s="4">
        <v>0.39612803819519898</v>
      </c>
      <c r="M108" s="4">
        <v>9.8478870111876008E-3</v>
      </c>
      <c r="N108" s="4">
        <v>0.15</v>
      </c>
      <c r="O108" s="4">
        <v>74.855500000000006</v>
      </c>
      <c r="P108" s="4">
        <v>168.77593907272899</v>
      </c>
      <c r="Q108" s="4">
        <v>0.26190626124505201</v>
      </c>
    </row>
    <row r="109" spans="1:17" x14ac:dyDescent="0.15">
      <c r="A109" t="s">
        <v>26</v>
      </c>
      <c r="B109" s="3" t="s">
        <v>19</v>
      </c>
      <c r="C109" s="4">
        <v>3.2530000000000001</v>
      </c>
      <c r="D109" s="4">
        <v>4.3841999999999999</v>
      </c>
      <c r="E109" s="4">
        <v>13.279500000000001</v>
      </c>
      <c r="F109" s="4">
        <v>9.7516999999999996</v>
      </c>
      <c r="G109" s="4">
        <v>30.668399999999998</v>
      </c>
      <c r="H109" s="4">
        <v>0.10607009169047001</v>
      </c>
      <c r="I109" s="4">
        <v>0.24902505510558101</v>
      </c>
      <c r="J109" s="4">
        <v>0.43300269984739997</v>
      </c>
      <c r="K109" s="4">
        <v>0.31797224504701899</v>
      </c>
      <c r="L109" s="4">
        <v>0.39741901335517699</v>
      </c>
      <c r="M109" s="4">
        <v>9.2531234851099698E-3</v>
      </c>
      <c r="N109" s="4">
        <v>0.17499999999999999</v>
      </c>
      <c r="O109" s="4">
        <v>164.863</v>
      </c>
      <c r="P109" s="4">
        <v>154.06727035252399</v>
      </c>
      <c r="Q109" s="4">
        <v>0.24902505510558101</v>
      </c>
    </row>
    <row r="110" spans="1:17" x14ac:dyDescent="0.15">
      <c r="A110" t="s">
        <v>26</v>
      </c>
      <c r="B110" s="3" t="s">
        <v>19</v>
      </c>
      <c r="C110" s="4">
        <v>1.4439</v>
      </c>
      <c r="D110" s="4">
        <v>1.3956</v>
      </c>
      <c r="E110" s="4">
        <v>5.5880000000000001</v>
      </c>
      <c r="F110" s="4">
        <v>6.3571</v>
      </c>
      <c r="G110" s="4">
        <v>14.784599999999999</v>
      </c>
      <c r="H110" s="4">
        <v>9.76624325311473E-2</v>
      </c>
      <c r="I110" s="4">
        <v>0.192057952193499</v>
      </c>
      <c r="J110" s="4">
        <v>0.37796085115593298</v>
      </c>
      <c r="K110" s="4">
        <v>0.429981196650569</v>
      </c>
      <c r="L110" s="4">
        <v>0.35117806965256898</v>
      </c>
      <c r="M110" s="4">
        <v>1.1935880087147801E-2</v>
      </c>
      <c r="N110" s="4">
        <v>0.16</v>
      </c>
      <c r="O110" s="4">
        <v>96.463999999999999</v>
      </c>
      <c r="P110" s="4">
        <v>197.073016480505</v>
      </c>
      <c r="Q110" s="4">
        <v>0.192057952193499</v>
      </c>
    </row>
    <row r="111" spans="1:17" x14ac:dyDescent="0.15">
      <c r="A111" t="s">
        <v>26</v>
      </c>
      <c r="B111" s="3" t="s">
        <v>19</v>
      </c>
      <c r="C111" s="4">
        <v>3.0598999999999998</v>
      </c>
      <c r="D111" s="4">
        <v>3.5912000000000002</v>
      </c>
      <c r="E111" s="4">
        <v>9.2172999999999998</v>
      </c>
      <c r="F111" s="4">
        <v>6.1894</v>
      </c>
      <c r="G111" s="4">
        <v>22.0578</v>
      </c>
      <c r="H111" s="4">
        <v>0.13872190336298301</v>
      </c>
      <c r="I111" s="4">
        <v>0.30153052434966299</v>
      </c>
      <c r="J111" s="4">
        <v>0.41787032251629802</v>
      </c>
      <c r="K111" s="4">
        <v>0.28059915313403899</v>
      </c>
      <c r="L111" s="4">
        <v>0.37917404271152799</v>
      </c>
      <c r="M111" s="4">
        <v>7.7848444092987598E-3</v>
      </c>
      <c r="N111" s="4">
        <v>0.18</v>
      </c>
      <c r="O111" s="4">
        <v>88.887</v>
      </c>
      <c r="P111" s="4">
        <v>155.622151268301</v>
      </c>
      <c r="Q111" s="4">
        <v>0.30153052434966299</v>
      </c>
    </row>
    <row r="112" spans="1:17" x14ac:dyDescent="0.15">
      <c r="A112" t="s">
        <v>26</v>
      </c>
      <c r="B112" s="3" t="s">
        <v>19</v>
      </c>
      <c r="C112" s="4">
        <v>1.4389000000000001</v>
      </c>
      <c r="D112" s="4">
        <v>3.7113</v>
      </c>
      <c r="E112" s="4">
        <v>7.1985999999999999</v>
      </c>
      <c r="F112" s="4">
        <v>5.5648999999999997</v>
      </c>
      <c r="G112" s="4">
        <v>17.913699999999999</v>
      </c>
      <c r="H112" s="4">
        <v>8.0323997834059996E-2</v>
      </c>
      <c r="I112" s="4">
        <v>0.28750062801096399</v>
      </c>
      <c r="J112" s="4">
        <v>0.40184886427706201</v>
      </c>
      <c r="K112" s="4">
        <v>0.310650507711975</v>
      </c>
      <c r="L112" s="4">
        <v>0.41938465933193098</v>
      </c>
      <c r="M112" s="4">
        <v>9.3346091253560404E-3</v>
      </c>
      <c r="N112" s="4">
        <v>0.155</v>
      </c>
      <c r="O112" s="4">
        <v>103.46299999999999</v>
      </c>
      <c r="P112" s="4">
        <v>169.965662574449</v>
      </c>
      <c r="Q112" s="4">
        <v>0.28750062801096399</v>
      </c>
    </row>
    <row r="113" spans="1:17" x14ac:dyDescent="0.15">
      <c r="A113" t="s">
        <v>26</v>
      </c>
      <c r="B113" s="3" t="s">
        <v>19</v>
      </c>
      <c r="C113" s="4">
        <v>2.5573000000000001</v>
      </c>
      <c r="D113" s="4">
        <v>2.6707999999999998</v>
      </c>
      <c r="E113" s="4">
        <v>7.5350999999999999</v>
      </c>
      <c r="F113" s="4">
        <v>9.1388999999999996</v>
      </c>
      <c r="G113" s="4">
        <v>21.902100000000001</v>
      </c>
      <c r="H113" s="4">
        <v>0.116760493286032</v>
      </c>
      <c r="I113" s="4">
        <v>0.238703138055255</v>
      </c>
      <c r="J113" s="4">
        <v>0.34403550344487499</v>
      </c>
      <c r="K113" s="4">
        <v>0.41726135849987001</v>
      </c>
      <c r="L113" s="4">
        <v>0.37561706743872397</v>
      </c>
      <c r="M113" s="4">
        <v>9.5325783220996108E-3</v>
      </c>
      <c r="N113" s="4">
        <v>0.155</v>
      </c>
      <c r="O113" s="4">
        <v>82.322000000000003</v>
      </c>
      <c r="P113" s="4">
        <v>180.50235314087899</v>
      </c>
      <c r="Q113" s="4">
        <v>0.238703138055255</v>
      </c>
    </row>
    <row r="114" spans="1:17" x14ac:dyDescent="0.15">
      <c r="A114" t="s">
        <v>26</v>
      </c>
      <c r="B114" s="3" t="s">
        <v>20</v>
      </c>
      <c r="C114" s="4">
        <v>2.8182999999999998</v>
      </c>
      <c r="D114" s="4">
        <v>6.8371000000000004</v>
      </c>
      <c r="E114" s="4">
        <v>13.228400000000001</v>
      </c>
      <c r="F114" s="4">
        <v>9.7636400000000005</v>
      </c>
      <c r="G114" s="4">
        <v>32.647440000000003</v>
      </c>
      <c r="H114" s="4">
        <v>8.6325298400119599E-2</v>
      </c>
      <c r="I114" s="4">
        <v>0.29574753793865599</v>
      </c>
      <c r="J114" s="4">
        <v>0.40518950337300602</v>
      </c>
      <c r="K114" s="4">
        <v>0.29906295868833799</v>
      </c>
      <c r="L114" s="4">
        <v>0.47370607443799501</v>
      </c>
      <c r="M114" s="4">
        <v>1.2582757517649999E-2</v>
      </c>
      <c r="N114" s="4">
        <v>0.23499999999999999</v>
      </c>
      <c r="O114" s="4">
        <v>47.991500000000002</v>
      </c>
      <c r="P114" s="4">
        <v>114.895342436672</v>
      </c>
      <c r="Q114" s="4">
        <v>0.29574753793865599</v>
      </c>
    </row>
    <row r="115" spans="1:17" x14ac:dyDescent="0.15">
      <c r="A115" t="s">
        <v>26</v>
      </c>
      <c r="B115" s="3" t="s">
        <v>20</v>
      </c>
      <c r="C115" s="4">
        <v>2.6446000000000001</v>
      </c>
      <c r="D115" s="4">
        <v>3.0743999999999998</v>
      </c>
      <c r="E115" s="4">
        <v>7.7088999999999999</v>
      </c>
      <c r="F115" s="4">
        <v>7.4779</v>
      </c>
      <c r="G115" s="4">
        <v>20.905799999999999</v>
      </c>
      <c r="H115" s="4">
        <v>0.126500779687934</v>
      </c>
      <c r="I115" s="4">
        <v>0.27356044733997298</v>
      </c>
      <c r="J115" s="4">
        <v>0.36874455892623098</v>
      </c>
      <c r="K115" s="4">
        <v>0.35769499373379599</v>
      </c>
      <c r="L115" s="4">
        <v>0.46379318869411301</v>
      </c>
      <c r="M115" s="4">
        <v>1.01445293974513E-2</v>
      </c>
      <c r="N115" s="4">
        <v>0.23499999999999999</v>
      </c>
      <c r="O115" s="4">
        <v>45.609000000000002</v>
      </c>
      <c r="P115" s="4">
        <v>107.771829051038</v>
      </c>
      <c r="Q115" s="4">
        <v>0.27356044733997298</v>
      </c>
    </row>
    <row r="116" spans="1:17" x14ac:dyDescent="0.15">
      <c r="A116" t="s">
        <v>26</v>
      </c>
      <c r="B116" s="3" t="s">
        <v>20</v>
      </c>
      <c r="C116" s="4">
        <v>3.3866000000000001</v>
      </c>
      <c r="D116" s="4">
        <v>6.9851000000000001</v>
      </c>
      <c r="E116" s="4">
        <v>15.2288</v>
      </c>
      <c r="F116" s="4">
        <v>14.7462</v>
      </c>
      <c r="G116" s="4">
        <v>40.346699999999998</v>
      </c>
      <c r="H116" s="4">
        <v>8.3937471961771398E-2</v>
      </c>
      <c r="I116" s="4">
        <v>0.25706439436186801</v>
      </c>
      <c r="J116" s="4">
        <v>0.37744846542592098</v>
      </c>
      <c r="K116" s="4">
        <v>0.36548714021221101</v>
      </c>
      <c r="L116" s="4">
        <v>0.47641909098051599</v>
      </c>
      <c r="M116" s="4">
        <v>1.3410238214832001E-2</v>
      </c>
      <c r="N116" s="4">
        <v>0.2</v>
      </c>
      <c r="O116" s="4">
        <v>84.177999999999997</v>
      </c>
      <c r="P116" s="4">
        <v>121.919646692398</v>
      </c>
      <c r="Q116" s="4">
        <v>0.25706439436186801</v>
      </c>
    </row>
    <row r="117" spans="1:17" x14ac:dyDescent="0.15">
      <c r="A117" t="s">
        <v>26</v>
      </c>
      <c r="B117" s="3" t="s">
        <v>20</v>
      </c>
      <c r="C117" s="4">
        <v>2.3489</v>
      </c>
      <c r="D117" s="4">
        <v>4.9814999999999996</v>
      </c>
      <c r="E117" s="4">
        <v>10.0959</v>
      </c>
      <c r="F117" s="4">
        <v>8.5784000000000002</v>
      </c>
      <c r="G117" s="4">
        <v>26.0047</v>
      </c>
      <c r="H117" s="4">
        <v>9.0325979534468803E-2</v>
      </c>
      <c r="I117" s="4">
        <v>0.28188750495102799</v>
      </c>
      <c r="J117" s="4">
        <v>0.38823366545278398</v>
      </c>
      <c r="K117" s="4">
        <v>0.32987882959618797</v>
      </c>
      <c r="L117" s="4">
        <v>0.48766302621498903</v>
      </c>
      <c r="M117" s="4">
        <v>9.3547561386386497E-3</v>
      </c>
      <c r="N117" s="4">
        <v>0.16</v>
      </c>
      <c r="O117" s="4">
        <v>57.564999999999998</v>
      </c>
      <c r="P117" s="4">
        <v>143.82667531858201</v>
      </c>
      <c r="Q117" s="4">
        <v>0.28188750495102799</v>
      </c>
    </row>
    <row r="118" spans="1:17" x14ac:dyDescent="0.15">
      <c r="A118" t="s">
        <v>26</v>
      </c>
      <c r="B118" s="3" t="s">
        <v>20</v>
      </c>
      <c r="C118" s="4">
        <v>2.8182</v>
      </c>
      <c r="D118" s="4">
        <v>4.0648999999999997</v>
      </c>
      <c r="E118" s="4">
        <v>8.2951999999999995</v>
      </c>
      <c r="F118" s="4">
        <v>6.7175000000000002</v>
      </c>
      <c r="G118" s="4">
        <v>21.895800000000001</v>
      </c>
      <c r="H118" s="4">
        <v>0.12870961554270699</v>
      </c>
      <c r="I118" s="4">
        <v>0.314357091314316</v>
      </c>
      <c r="J118" s="4">
        <v>0.37884891166342399</v>
      </c>
      <c r="K118" s="4">
        <v>0.30679399702226001</v>
      </c>
      <c r="L118" s="4">
        <v>0.41495270541780499</v>
      </c>
      <c r="M118" s="4">
        <v>1.21619636205599E-2</v>
      </c>
      <c r="N118" s="4">
        <v>0.21</v>
      </c>
      <c r="O118" s="4">
        <v>102.515</v>
      </c>
      <c r="P118" s="4">
        <v>137.90271731610201</v>
      </c>
      <c r="Q118" s="4">
        <v>0.314357091314316</v>
      </c>
    </row>
    <row r="119" spans="1:17" x14ac:dyDescent="0.15">
      <c r="A119" t="s">
        <v>26</v>
      </c>
      <c r="B119" s="3" t="s">
        <v>20</v>
      </c>
      <c r="C119" s="4">
        <v>1.6404000000000001</v>
      </c>
      <c r="D119" s="4">
        <v>4.6981000000000002</v>
      </c>
      <c r="E119" s="4">
        <v>7.0115999999999996</v>
      </c>
      <c r="F119" s="4">
        <v>7.8475000000000001</v>
      </c>
      <c r="G119" s="4">
        <v>21.197600000000001</v>
      </c>
      <c r="H119" s="4">
        <v>7.7386119183303806E-2</v>
      </c>
      <c r="I119" s="4">
        <v>0.299019700343435</v>
      </c>
      <c r="J119" s="4">
        <v>0.33077329509001002</v>
      </c>
      <c r="K119" s="4">
        <v>0.37020700456655498</v>
      </c>
      <c r="L119" s="4">
        <v>0.455875071866227</v>
      </c>
      <c r="M119" s="4">
        <v>9.9178924200943996E-3</v>
      </c>
      <c r="N119" s="4">
        <v>0.2</v>
      </c>
      <c r="O119" s="4">
        <v>80.510499999999993</v>
      </c>
      <c r="P119" s="4">
        <v>121.976587222096</v>
      </c>
      <c r="Q119" s="4">
        <v>0.299019700343435</v>
      </c>
    </row>
    <row r="120" spans="1:17" x14ac:dyDescent="0.15">
      <c r="A120" t="s">
        <v>26</v>
      </c>
      <c r="B120" s="3" t="s">
        <v>20</v>
      </c>
      <c r="C120" s="4">
        <v>2.1046999999999998</v>
      </c>
      <c r="D120" s="4">
        <v>3.3128000000000002</v>
      </c>
      <c r="E120" s="4">
        <v>7.173</v>
      </c>
      <c r="F120" s="4">
        <v>5.5774999999999997</v>
      </c>
      <c r="G120" s="4">
        <v>18.167999999999999</v>
      </c>
      <c r="H120" s="4">
        <v>0.115846543372963</v>
      </c>
      <c r="I120" s="4">
        <v>0.298189123734038</v>
      </c>
      <c r="J120" s="4">
        <v>0.39481505944517797</v>
      </c>
      <c r="K120" s="4">
        <v>0.30699581682078397</v>
      </c>
      <c r="L120" s="4">
        <v>0.46751189930635101</v>
      </c>
      <c r="M120" s="4">
        <v>9.5459879998697292E-3</v>
      </c>
      <c r="N120" s="4">
        <v>0.17499999999999999</v>
      </c>
      <c r="O120" s="4">
        <v>46.947499999999998</v>
      </c>
      <c r="P120" s="4">
        <v>113.773184993543</v>
      </c>
      <c r="Q120" s="4">
        <v>0.298189123734038</v>
      </c>
    </row>
    <row r="121" spans="1:17" x14ac:dyDescent="0.15">
      <c r="A121" t="s">
        <v>26</v>
      </c>
      <c r="B121" s="3" t="s">
        <v>21</v>
      </c>
      <c r="C121" s="4">
        <v>10.2728</v>
      </c>
      <c r="D121" s="4">
        <v>10.1424</v>
      </c>
      <c r="E121" s="4">
        <v>24.555800000000001</v>
      </c>
      <c r="F121" s="4">
        <v>26.0946</v>
      </c>
      <c r="G121" s="4">
        <v>71.065600000000003</v>
      </c>
      <c r="H121" s="4">
        <v>0.14455376440922199</v>
      </c>
      <c r="I121" s="4">
        <v>0.28727260446685898</v>
      </c>
      <c r="J121" s="4">
        <v>0.34553708123198801</v>
      </c>
      <c r="K121" s="4">
        <v>0.36719031430115301</v>
      </c>
      <c r="L121" s="4">
        <v>0.53758943843128104</v>
      </c>
      <c r="M121" s="4">
        <v>1.64399447493167E-2</v>
      </c>
      <c r="N121" s="4">
        <v>0.2</v>
      </c>
      <c r="O121" s="4">
        <v>119.958</v>
      </c>
      <c r="P121" s="4">
        <v>100.511293348481</v>
      </c>
      <c r="Q121" s="4">
        <v>0.28727260446685898</v>
      </c>
    </row>
    <row r="122" spans="1:17" x14ac:dyDescent="0.15">
      <c r="A122" t="s">
        <v>26</v>
      </c>
      <c r="B122" s="3" t="s">
        <v>21</v>
      </c>
      <c r="C122" s="4">
        <v>6.4606000000000003</v>
      </c>
      <c r="D122" s="4">
        <v>11</v>
      </c>
      <c r="E122" s="4">
        <v>21.4696</v>
      </c>
      <c r="F122" s="4">
        <v>21.024999999999999</v>
      </c>
      <c r="G122" s="4">
        <v>59.955199999999998</v>
      </c>
      <c r="H122" s="4">
        <v>0.107757125320239</v>
      </c>
      <c r="I122" s="4">
        <v>0.29122744982920601</v>
      </c>
      <c r="J122" s="4">
        <v>0.358094043552519</v>
      </c>
      <c r="K122" s="4">
        <v>0.35067850661827499</v>
      </c>
      <c r="L122" s="4">
        <v>0.46021432643433802</v>
      </c>
      <c r="M122" s="4">
        <v>1.4808132734204201E-2</v>
      </c>
      <c r="N122" s="4">
        <v>0.23</v>
      </c>
      <c r="O122" s="4">
        <v>97.064499999999995</v>
      </c>
      <c r="P122" s="4">
        <v>110.19380630382901</v>
      </c>
      <c r="Q122" s="4">
        <v>0.29122744982920601</v>
      </c>
    </row>
    <row r="123" spans="1:17" x14ac:dyDescent="0.15">
      <c r="A123" t="s">
        <v>26</v>
      </c>
      <c r="B123" s="3" t="s">
        <v>21</v>
      </c>
      <c r="C123" s="4">
        <v>7.7919</v>
      </c>
      <c r="D123" s="4">
        <v>12.584099999999999</v>
      </c>
      <c r="E123" s="4">
        <v>29.196999999999999</v>
      </c>
      <c r="F123" s="4">
        <v>24.710799999999999</v>
      </c>
      <c r="G123" s="4">
        <v>74.283799999999999</v>
      </c>
      <c r="H123" s="4">
        <v>0.10489366456750999</v>
      </c>
      <c r="I123" s="4">
        <v>0.27429937617623201</v>
      </c>
      <c r="J123" s="4">
        <v>0.39304666697180302</v>
      </c>
      <c r="K123" s="4">
        <v>0.33265395685196503</v>
      </c>
      <c r="L123" s="4">
        <v>0.56669519212528696</v>
      </c>
      <c r="M123" s="4">
        <v>1.7188314330464301E-2</v>
      </c>
      <c r="N123" s="4">
        <v>0.23499999999999999</v>
      </c>
      <c r="O123" s="4">
        <v>130.34200000000001</v>
      </c>
      <c r="P123" s="4">
        <v>89.679460743215103</v>
      </c>
      <c r="Q123" s="4">
        <v>0.27429937617623201</v>
      </c>
    </row>
    <row r="124" spans="1:17" x14ac:dyDescent="0.15">
      <c r="A124" t="s">
        <v>26</v>
      </c>
      <c r="B124" s="3" t="s">
        <v>21</v>
      </c>
      <c r="C124" s="4">
        <v>6.2378999999999998</v>
      </c>
      <c r="D124" s="4">
        <v>12.8666</v>
      </c>
      <c r="E124" s="4">
        <v>16.9864</v>
      </c>
      <c r="F124" s="4">
        <v>13.379</v>
      </c>
      <c r="G124" s="4">
        <v>49.469900000000003</v>
      </c>
      <c r="H124" s="4">
        <v>0.12609485768113499</v>
      </c>
      <c r="I124" s="4">
        <v>0.38618432622665499</v>
      </c>
      <c r="J124" s="4">
        <v>0.34336839168868299</v>
      </c>
      <c r="K124" s="4">
        <v>0.27044728208466201</v>
      </c>
      <c r="L124" s="4">
        <v>0.53652665920151599</v>
      </c>
      <c r="M124" s="4">
        <v>1.41883868710889E-2</v>
      </c>
      <c r="N124" s="4">
        <v>0.19</v>
      </c>
      <c r="O124" s="4">
        <v>43.240499999999997</v>
      </c>
      <c r="P124" s="4">
        <v>93.471521517730096</v>
      </c>
      <c r="Q124" s="4">
        <v>0.38618432622665499</v>
      </c>
    </row>
    <row r="125" spans="1:17" x14ac:dyDescent="0.15">
      <c r="A125" t="s">
        <v>26</v>
      </c>
      <c r="B125" s="3" t="s">
        <v>21</v>
      </c>
      <c r="C125" s="4">
        <v>7.3758999999999997</v>
      </c>
      <c r="D125" s="4">
        <v>18.704699999999999</v>
      </c>
      <c r="E125" s="4">
        <v>27.377099999999999</v>
      </c>
      <c r="F125" s="4">
        <v>23.513400000000001</v>
      </c>
      <c r="G125" s="4">
        <v>76.971100000000007</v>
      </c>
      <c r="H125" s="4">
        <v>9.5826875281761606E-2</v>
      </c>
      <c r="I125" s="4">
        <v>0.33883626452005999</v>
      </c>
      <c r="J125" s="4">
        <v>0.35568024882066102</v>
      </c>
      <c r="K125" s="4">
        <v>0.30548348665927899</v>
      </c>
      <c r="L125" s="4">
        <v>0.55175121738445498</v>
      </c>
      <c r="M125" s="4">
        <v>1.5474151286822301E-2</v>
      </c>
      <c r="N125" s="4">
        <v>0.22500000000000001</v>
      </c>
      <c r="O125" s="4">
        <v>69.097999999999999</v>
      </c>
      <c r="P125" s="4">
        <v>78.314107828115496</v>
      </c>
      <c r="Q125" s="4">
        <v>0.33883626452005999</v>
      </c>
    </row>
    <row r="126" spans="1:17" x14ac:dyDescent="0.15">
      <c r="A126" t="s">
        <v>26</v>
      </c>
      <c r="B126" s="3" t="s">
        <v>21</v>
      </c>
      <c r="C126" s="4">
        <v>5.6921999999999997</v>
      </c>
      <c r="D126" s="4">
        <v>10.984</v>
      </c>
      <c r="E126" s="4">
        <v>17.171700000000001</v>
      </c>
      <c r="F126" s="4">
        <v>18.013000000000002</v>
      </c>
      <c r="G126" s="4">
        <v>51.860900000000001</v>
      </c>
      <c r="H126" s="4">
        <v>0.10975898991340299</v>
      </c>
      <c r="I126" s="4">
        <v>0.32155631699411302</v>
      </c>
      <c r="J126" s="4">
        <v>0.33111072117915402</v>
      </c>
      <c r="K126" s="4">
        <v>0.34733296182673301</v>
      </c>
      <c r="L126" s="4">
        <v>0.50568131759921697</v>
      </c>
      <c r="M126" s="4">
        <v>1.51030439785314E-2</v>
      </c>
      <c r="N126" s="4">
        <v>0.245</v>
      </c>
      <c r="O126" s="4">
        <v>65.180999999999997</v>
      </c>
      <c r="P126" s="4">
        <v>80.516142756480406</v>
      </c>
      <c r="Q126" s="4">
        <v>0.32155631699411302</v>
      </c>
    </row>
    <row r="127" spans="1:17" x14ac:dyDescent="0.15">
      <c r="A127" t="s">
        <v>26</v>
      </c>
      <c r="B127" s="3" t="s">
        <v>21</v>
      </c>
      <c r="C127" s="4">
        <v>8.1879000000000008</v>
      </c>
      <c r="D127" s="4">
        <v>10.738099999999999</v>
      </c>
      <c r="E127" s="4">
        <v>20.043900000000001</v>
      </c>
      <c r="F127" s="4">
        <v>22.028099999999998</v>
      </c>
      <c r="G127" s="4">
        <v>60.997999999999998</v>
      </c>
      <c r="H127" s="4">
        <v>0.134232269910489</v>
      </c>
      <c r="I127" s="4">
        <v>0.31027246794976898</v>
      </c>
      <c r="J127" s="4">
        <v>0.32859929833765</v>
      </c>
      <c r="K127" s="4">
        <v>0.36112823371258101</v>
      </c>
      <c r="L127" s="4">
        <v>0.50250600711942395</v>
      </c>
      <c r="M127" s="4">
        <v>1.5014223206476199E-2</v>
      </c>
      <c r="N127" s="4">
        <v>0.20499999999999999</v>
      </c>
      <c r="O127" s="4">
        <v>98.649000000000001</v>
      </c>
      <c r="P127" s="4">
        <v>100.060798960065</v>
      </c>
      <c r="Q127" s="4">
        <v>0.31027246794976898</v>
      </c>
    </row>
    <row r="128" spans="1:17" x14ac:dyDescent="0.15">
      <c r="A128" t="s">
        <v>26</v>
      </c>
      <c r="B128" s="3" t="s">
        <v>22</v>
      </c>
      <c r="C128" s="4">
        <v>5.4286000000000003</v>
      </c>
      <c r="D128" s="4">
        <v>11.1571</v>
      </c>
      <c r="E128" s="4">
        <v>18.496300000000002</v>
      </c>
      <c r="F128" s="4">
        <v>20.831800000000001</v>
      </c>
      <c r="G128" s="4">
        <v>55.913800000000002</v>
      </c>
      <c r="H128" s="4">
        <v>9.70887330140323E-2</v>
      </c>
      <c r="I128" s="4">
        <v>0.29662981231824698</v>
      </c>
      <c r="J128" s="4">
        <v>0.33080026755469999</v>
      </c>
      <c r="K128" s="4">
        <v>0.37256992012705298</v>
      </c>
      <c r="L128" s="4">
        <v>0.51503434044784202</v>
      </c>
      <c r="M128" s="4">
        <v>1.04768011378952E-2</v>
      </c>
      <c r="N128" s="4">
        <v>0.23499999999999999</v>
      </c>
      <c r="O128" s="4">
        <v>68.222499999999997</v>
      </c>
      <c r="P128" s="4">
        <v>82.490522631274402</v>
      </c>
      <c r="Q128" s="4">
        <v>0.29662981231824698</v>
      </c>
    </row>
    <row r="129" spans="1:17" x14ac:dyDescent="0.15">
      <c r="A129" t="s">
        <v>26</v>
      </c>
      <c r="B129" s="3" t="s">
        <v>22</v>
      </c>
      <c r="C129" s="4">
        <v>9.5503999999999998</v>
      </c>
      <c r="D129" s="4">
        <v>15.440200000000001</v>
      </c>
      <c r="E129" s="4">
        <v>26.854399999999998</v>
      </c>
      <c r="F129" s="4">
        <v>17.985299999999999</v>
      </c>
      <c r="G129" s="4">
        <v>69.830299999999994</v>
      </c>
      <c r="H129" s="4">
        <v>0.136765845199004</v>
      </c>
      <c r="I129" s="4">
        <v>0.35787616550408602</v>
      </c>
      <c r="J129" s="4">
        <v>0.38456658499247498</v>
      </c>
      <c r="K129" s="4">
        <v>0.257557249503439</v>
      </c>
      <c r="L129" s="4">
        <v>0.54954747479858601</v>
      </c>
      <c r="M129" s="4">
        <v>1.7603322707284399E-2</v>
      </c>
      <c r="N129" s="4">
        <v>0.23499999999999999</v>
      </c>
      <c r="O129" s="4">
        <v>139.422</v>
      </c>
      <c r="P129" s="4">
        <v>94.636505663961699</v>
      </c>
      <c r="Q129" s="4">
        <v>0.35787616550408602</v>
      </c>
    </row>
    <row r="130" spans="1:17" x14ac:dyDescent="0.15">
      <c r="A130" t="s">
        <v>26</v>
      </c>
      <c r="B130" s="3" t="s">
        <v>22</v>
      </c>
      <c r="C130" s="4">
        <v>4.9871999999999996</v>
      </c>
      <c r="D130" s="4">
        <v>15.180099999999999</v>
      </c>
      <c r="E130" s="4">
        <v>28.584399999999999</v>
      </c>
      <c r="F130" s="4">
        <v>19.244</v>
      </c>
      <c r="G130" s="4">
        <v>67.995699999999999</v>
      </c>
      <c r="H130" s="4">
        <v>7.3345814514741398E-2</v>
      </c>
      <c r="I130" s="4">
        <v>0.296596696555812</v>
      </c>
      <c r="J130" s="4">
        <v>0.42038540672424901</v>
      </c>
      <c r="K130" s="4">
        <v>0.28301789671993999</v>
      </c>
      <c r="L130" s="4">
        <v>0.46294362951345203</v>
      </c>
      <c r="M130" s="4">
        <v>1.2112921153060899E-2</v>
      </c>
      <c r="N130" s="4">
        <v>0.25</v>
      </c>
      <c r="O130" s="4">
        <v>100.4135</v>
      </c>
      <c r="P130" s="4">
        <v>80.596585520120499</v>
      </c>
      <c r="Q130" s="4">
        <v>0.296596696555812</v>
      </c>
    </row>
    <row r="131" spans="1:17" x14ac:dyDescent="0.15">
      <c r="A131" t="s">
        <v>26</v>
      </c>
      <c r="B131" s="3" t="s">
        <v>22</v>
      </c>
      <c r="C131" s="4">
        <v>6.9715999999999996</v>
      </c>
      <c r="D131" s="4">
        <v>7.8319000000000001</v>
      </c>
      <c r="E131" s="4">
        <v>24.8371</v>
      </c>
      <c r="F131" s="4">
        <v>25.538799999999998</v>
      </c>
      <c r="G131" s="4">
        <v>65.179400000000001</v>
      </c>
      <c r="H131" s="4">
        <v>0.106960174533672</v>
      </c>
      <c r="I131" s="4">
        <v>0.22711930456555299</v>
      </c>
      <c r="J131" s="4">
        <v>0.38105751203601101</v>
      </c>
      <c r="K131" s="4">
        <v>0.39182318339843603</v>
      </c>
      <c r="L131" s="4">
        <v>0.50615147116678605</v>
      </c>
      <c r="M131" s="4">
        <v>1.43087371197745E-2</v>
      </c>
      <c r="N131" s="4">
        <v>0.27500000000000002</v>
      </c>
      <c r="O131" s="4">
        <v>75.344499999999996</v>
      </c>
      <c r="P131" s="4">
        <v>85.629301453322896</v>
      </c>
      <c r="Q131" s="4">
        <v>0.22711930456555299</v>
      </c>
    </row>
    <row r="132" spans="1:17" x14ac:dyDescent="0.15">
      <c r="A132" t="s">
        <v>26</v>
      </c>
      <c r="B132" s="3" t="s">
        <v>22</v>
      </c>
      <c r="C132" s="4">
        <v>9.1540999999999997</v>
      </c>
      <c r="D132" s="4">
        <v>20.319299999999998</v>
      </c>
      <c r="E132" s="4">
        <v>34.1096</v>
      </c>
      <c r="F132" s="4">
        <v>21.354199999999999</v>
      </c>
      <c r="G132" s="4">
        <v>84.937200000000004</v>
      </c>
      <c r="H132" s="4">
        <v>0.107774920764989</v>
      </c>
      <c r="I132" s="4">
        <v>0.34700225578427302</v>
      </c>
      <c r="J132" s="4">
        <v>0.40158611303410102</v>
      </c>
      <c r="K132" s="4">
        <v>0.25141163118162602</v>
      </c>
      <c r="L132" s="4">
        <v>0.440758468104818</v>
      </c>
      <c r="M132" s="4">
        <v>1.53814871220193E-2</v>
      </c>
      <c r="N132" s="4">
        <v>0.28999999999999998</v>
      </c>
      <c r="O132" s="4">
        <v>117.1995</v>
      </c>
      <c r="P132" s="4">
        <v>80.661216374658594</v>
      </c>
      <c r="Q132" s="4">
        <v>0.34700225578427302</v>
      </c>
    </row>
    <row r="133" spans="1:17" x14ac:dyDescent="0.15">
      <c r="A133" t="s">
        <v>26</v>
      </c>
      <c r="B133" s="3" t="s">
        <v>22</v>
      </c>
      <c r="C133" s="4">
        <v>4.7019000000000002</v>
      </c>
      <c r="D133" s="4">
        <v>7.3242000000000003</v>
      </c>
      <c r="E133" s="4">
        <v>24.019100000000002</v>
      </c>
      <c r="F133" s="4">
        <v>16.463899999999999</v>
      </c>
      <c r="G133" s="4">
        <v>52.509099999999997</v>
      </c>
      <c r="H133" s="4">
        <v>8.9544478956980797E-2</v>
      </c>
      <c r="I133" s="4">
        <v>0.22902887309056899</v>
      </c>
      <c r="J133" s="4">
        <v>0.45742737925426302</v>
      </c>
      <c r="K133" s="4">
        <v>0.31354374765516801</v>
      </c>
      <c r="L133" s="4">
        <v>0.43614011325156299</v>
      </c>
      <c r="M133" s="4">
        <v>1.6325841063342301E-2</v>
      </c>
      <c r="N133" s="4">
        <v>0.28999999999999998</v>
      </c>
      <c r="O133" s="4">
        <v>107.214</v>
      </c>
      <c r="P133" s="4">
        <v>89.6529329495322</v>
      </c>
      <c r="Q133" s="4">
        <v>0.22902887309056899</v>
      </c>
    </row>
    <row r="134" spans="1:17" x14ac:dyDescent="0.15">
      <c r="A134" t="s">
        <v>26</v>
      </c>
      <c r="B134" s="3" t="s">
        <v>22</v>
      </c>
      <c r="C134" s="4">
        <v>4.9230999999999998</v>
      </c>
      <c r="D134" s="4">
        <v>12.198399999999999</v>
      </c>
      <c r="E134" s="4">
        <v>27.637599999999999</v>
      </c>
      <c r="F134" s="4">
        <v>24.428100000000001</v>
      </c>
      <c r="G134" s="4">
        <v>69.187200000000004</v>
      </c>
      <c r="H134" s="4">
        <v>7.1156225428981104E-2</v>
      </c>
      <c r="I134" s="4">
        <v>0.24746629434346201</v>
      </c>
      <c r="J134" s="4">
        <v>0.39946117200869502</v>
      </c>
      <c r="K134" s="4">
        <v>0.35307253364784202</v>
      </c>
      <c r="L134" s="4">
        <v>0.52405051082874099</v>
      </c>
      <c r="M134" s="4">
        <v>1.4870656545632599E-2</v>
      </c>
      <c r="N134" s="4">
        <v>0.25</v>
      </c>
      <c r="O134" s="4">
        <v>100.6245</v>
      </c>
      <c r="P134" s="4">
        <v>82.673384505122499</v>
      </c>
      <c r="Q134" s="4">
        <v>0.24746629434346201</v>
      </c>
    </row>
    <row r="135" spans="1:17" x14ac:dyDescent="0.15">
      <c r="A135" t="s">
        <v>26</v>
      </c>
      <c r="B135" s="3" t="s">
        <v>23</v>
      </c>
      <c r="C135" s="4">
        <v>3.5356999999999998</v>
      </c>
      <c r="D135" s="4">
        <v>5.3760000000000003</v>
      </c>
      <c r="E135" s="4">
        <v>10.162800000000001</v>
      </c>
      <c r="F135" s="4">
        <v>9.5690000000000008</v>
      </c>
      <c r="G135" s="4">
        <v>28.6435</v>
      </c>
      <c r="H135" s="4">
        <v>0.123438127323826</v>
      </c>
      <c r="I135" s="4">
        <v>0.31112468797458398</v>
      </c>
      <c r="J135" s="4">
        <v>0.35480300940876602</v>
      </c>
      <c r="K135" s="4">
        <v>0.33407230261665</v>
      </c>
      <c r="L135" s="4">
        <v>0.51494258521082203</v>
      </c>
      <c r="M135" s="4">
        <v>6.4956206361952403E-3</v>
      </c>
      <c r="N135" s="4">
        <v>0.18</v>
      </c>
      <c r="O135" s="4">
        <v>42.247500000000002</v>
      </c>
      <c r="P135" s="4">
        <v>92.047806052551493</v>
      </c>
      <c r="Q135" s="4">
        <v>0.31112468797458398</v>
      </c>
    </row>
    <row r="136" spans="1:17" x14ac:dyDescent="0.15">
      <c r="A136" t="s">
        <v>26</v>
      </c>
      <c r="B136" s="3" t="s">
        <v>23</v>
      </c>
      <c r="C136" s="4">
        <v>4.4714</v>
      </c>
      <c r="D136" s="4">
        <v>11.4565</v>
      </c>
      <c r="E136" s="4">
        <v>19.091200000000001</v>
      </c>
      <c r="F136" s="4">
        <v>15.427899999999999</v>
      </c>
      <c r="G136" s="4">
        <v>50.447000000000003</v>
      </c>
      <c r="H136" s="4">
        <v>8.8635597756060794E-2</v>
      </c>
      <c r="I136" s="4">
        <v>0.31573532618391598</v>
      </c>
      <c r="J136" s="4">
        <v>0.37844073978630999</v>
      </c>
      <c r="K136" s="4">
        <v>0.30582393402977398</v>
      </c>
      <c r="L136" s="4">
        <v>0.52756765110687198</v>
      </c>
      <c r="M136" s="4">
        <v>1.19156436520745E-2</v>
      </c>
      <c r="N136" s="4">
        <v>0.24</v>
      </c>
      <c r="O136" s="4">
        <v>42.399500000000003</v>
      </c>
      <c r="P136" s="4">
        <v>82.847123381058907</v>
      </c>
      <c r="Q136" s="4">
        <v>0.31573532618391598</v>
      </c>
    </row>
    <row r="137" spans="1:17" x14ac:dyDescent="0.15">
      <c r="A137" t="s">
        <v>26</v>
      </c>
      <c r="B137" s="3" t="s">
        <v>23</v>
      </c>
      <c r="C137" s="4">
        <v>4.3089000000000004</v>
      </c>
      <c r="D137" s="4">
        <v>11.1683</v>
      </c>
      <c r="E137" s="4">
        <v>19.2911</v>
      </c>
      <c r="F137" s="4">
        <v>9.9208999999999996</v>
      </c>
      <c r="G137" s="4">
        <v>44.6892</v>
      </c>
      <c r="H137" s="4">
        <v>9.6419269085148099E-2</v>
      </c>
      <c r="I137" s="4">
        <v>0.34632976200066201</v>
      </c>
      <c r="J137" s="4">
        <v>0.4316725293807</v>
      </c>
      <c r="K137" s="4">
        <v>0.22199770861863699</v>
      </c>
      <c r="L137" s="4">
        <v>0.48436691777809299</v>
      </c>
      <c r="M137" s="4">
        <v>1.11664725283684E-2</v>
      </c>
      <c r="N137" s="4">
        <v>0.24</v>
      </c>
      <c r="O137" s="4">
        <v>66.399500000000003</v>
      </c>
      <c r="P137" s="4">
        <v>105.216786227372</v>
      </c>
      <c r="Q137" s="4">
        <v>0.34632976200066201</v>
      </c>
    </row>
    <row r="138" spans="1:17" x14ac:dyDescent="0.15">
      <c r="A138" t="s">
        <v>26</v>
      </c>
      <c r="B138" s="3" t="s">
        <v>23</v>
      </c>
      <c r="C138" s="4">
        <v>3.4295</v>
      </c>
      <c r="D138" s="4">
        <v>4.3799000000000001</v>
      </c>
      <c r="E138" s="4">
        <v>8.6379999999999999</v>
      </c>
      <c r="F138" s="4">
        <v>7.8263999999999996</v>
      </c>
      <c r="G138" s="4">
        <v>24.273800000000001</v>
      </c>
      <c r="H138" s="4">
        <v>0.14128401815949701</v>
      </c>
      <c r="I138" s="4">
        <v>0.32172136212706698</v>
      </c>
      <c r="J138" s="4">
        <v>0.35585693216554498</v>
      </c>
      <c r="K138" s="4">
        <v>0.32242170570738798</v>
      </c>
      <c r="L138" s="4">
        <v>0.490051818044279</v>
      </c>
      <c r="M138" s="4">
        <v>1.37336764487899E-2</v>
      </c>
      <c r="N138" s="4">
        <v>0.23499999999999999</v>
      </c>
      <c r="O138" s="4">
        <v>69.107500000000002</v>
      </c>
      <c r="P138" s="4">
        <v>97.086261721525503</v>
      </c>
      <c r="Q138" s="4">
        <v>0.32172136212706698</v>
      </c>
    </row>
    <row r="139" spans="1:17" x14ac:dyDescent="0.15">
      <c r="A139" t="s">
        <v>26</v>
      </c>
      <c r="B139" s="3" t="s">
        <v>23</v>
      </c>
      <c r="C139" s="4">
        <v>2.9247000000000001</v>
      </c>
      <c r="D139" s="4">
        <v>9.9808000000000003</v>
      </c>
      <c r="E139" s="4">
        <v>10.4268</v>
      </c>
      <c r="F139" s="4">
        <v>6.6115000000000004</v>
      </c>
      <c r="G139" s="4">
        <v>29.9438</v>
      </c>
      <c r="H139" s="4">
        <v>9.7672974038031296E-2</v>
      </c>
      <c r="I139" s="4">
        <v>0.43099072262037602</v>
      </c>
      <c r="J139" s="4">
        <v>0.34821231774190298</v>
      </c>
      <c r="K139" s="4">
        <v>0.220796959637721</v>
      </c>
      <c r="L139" s="4">
        <v>0.50442878585745499</v>
      </c>
      <c r="M139" s="4">
        <v>9.8261521682121104E-3</v>
      </c>
      <c r="N139" s="4">
        <v>0.19500000000000001</v>
      </c>
      <c r="O139" s="4">
        <v>41.606000000000002</v>
      </c>
      <c r="P139" s="4">
        <v>100.867977920332</v>
      </c>
      <c r="Q139" s="4">
        <v>0.43099072262037602</v>
      </c>
    </row>
    <row r="140" spans="1:17" x14ac:dyDescent="0.15">
      <c r="A140" t="s">
        <v>26</v>
      </c>
      <c r="B140" s="3" t="s">
        <v>23</v>
      </c>
      <c r="C140" s="4">
        <v>3.7376</v>
      </c>
      <c r="D140" s="4">
        <v>5.2157999999999998</v>
      </c>
      <c r="E140" s="4">
        <v>8.8636999999999997</v>
      </c>
      <c r="F140" s="4">
        <v>9.5016999999999996</v>
      </c>
      <c r="G140" s="4">
        <v>27.3188</v>
      </c>
      <c r="H140" s="4">
        <v>0.136814208530389</v>
      </c>
      <c r="I140" s="4">
        <v>0.32773767515410601</v>
      </c>
      <c r="J140" s="4">
        <v>0.32445422200096602</v>
      </c>
      <c r="K140" s="4">
        <v>0.34780810284492703</v>
      </c>
      <c r="L140" s="4">
        <v>0.49769125394715003</v>
      </c>
      <c r="M140" s="4">
        <v>5.6271318558144103E-3</v>
      </c>
      <c r="N140" s="4">
        <v>0.245</v>
      </c>
      <c r="O140" s="4">
        <v>55.926000000000002</v>
      </c>
      <c r="P140" s="4">
        <v>91.1233811886176</v>
      </c>
      <c r="Q140" s="4">
        <v>0.32773767515410601</v>
      </c>
    </row>
    <row r="141" spans="1:17" x14ac:dyDescent="0.15">
      <c r="A141" t="s">
        <v>26</v>
      </c>
      <c r="B141" s="3" t="s">
        <v>23</v>
      </c>
      <c r="C141" s="4">
        <v>3.7488000000000001</v>
      </c>
      <c r="D141" s="4">
        <v>6.4101999999999997</v>
      </c>
      <c r="E141" s="4">
        <v>10.415100000000001</v>
      </c>
      <c r="F141" s="4">
        <v>8.7997999999999994</v>
      </c>
      <c r="G141" s="4">
        <v>29.373899999999999</v>
      </c>
      <c r="H141" s="4">
        <v>0.12762350249711499</v>
      </c>
      <c r="I141" s="4">
        <v>0.34585124889783098</v>
      </c>
      <c r="J141" s="4">
        <v>0.35456987325482803</v>
      </c>
      <c r="K141" s="4">
        <v>0.299578877847341</v>
      </c>
      <c r="L141" s="4">
        <v>0.49694607684762898</v>
      </c>
      <c r="M141" s="4">
        <v>8.4521132361716801E-3</v>
      </c>
      <c r="N141" s="4">
        <v>0.215</v>
      </c>
      <c r="O141" s="4">
        <v>50.210999999999999</v>
      </c>
      <c r="P141" s="4">
        <v>89.734764543268597</v>
      </c>
      <c r="Q141" s="4">
        <v>0.34585124889783098</v>
      </c>
    </row>
    <row r="142" spans="1:17" x14ac:dyDescent="0.15">
      <c r="A142" t="s">
        <v>26</v>
      </c>
      <c r="B142" s="3" t="s">
        <v>24</v>
      </c>
      <c r="C142" s="4">
        <v>1.0227999999999999</v>
      </c>
      <c r="D142" s="4">
        <v>3.4397000000000002</v>
      </c>
      <c r="E142" s="4">
        <v>5.6993</v>
      </c>
      <c r="F142" s="4">
        <v>5.0173500000000004</v>
      </c>
      <c r="G142" s="4">
        <v>15.17915</v>
      </c>
      <c r="H142" s="4">
        <v>6.7381902148671E-2</v>
      </c>
      <c r="I142" s="4">
        <v>0.226606891690246</v>
      </c>
      <c r="J142" s="4">
        <v>0.37546898212350499</v>
      </c>
      <c r="K142" s="4">
        <v>0.33054222403757799</v>
      </c>
      <c r="L142" s="4">
        <v>0.44159326160573997</v>
      </c>
      <c r="M142" s="4">
        <v>6.5597822780992798E-3</v>
      </c>
      <c r="N142" s="4">
        <v>0.13</v>
      </c>
      <c r="O142" s="4">
        <v>67.814499999999995</v>
      </c>
      <c r="P142" s="4">
        <v>105.968644554034</v>
      </c>
      <c r="Q142" s="4">
        <v>0.29398879383891702</v>
      </c>
    </row>
    <row r="143" spans="1:17" x14ac:dyDescent="0.15">
      <c r="A143" t="s">
        <v>26</v>
      </c>
      <c r="B143" s="3" t="s">
        <v>24</v>
      </c>
      <c r="C143" s="4">
        <v>1.7677</v>
      </c>
      <c r="D143" s="4">
        <v>2.9723000000000002</v>
      </c>
      <c r="E143" s="4">
        <v>5.7887000000000004</v>
      </c>
      <c r="F143" s="4">
        <v>5.1978999999999997</v>
      </c>
      <c r="G143" s="4">
        <v>15.726599999999999</v>
      </c>
      <c r="H143" s="4">
        <v>0.112401917769893</v>
      </c>
      <c r="I143" s="4">
        <v>0.18899825772894299</v>
      </c>
      <c r="J143" s="4">
        <v>0.36808337466458102</v>
      </c>
      <c r="K143" s="4">
        <v>0.33051644983658302</v>
      </c>
      <c r="L143" s="4">
        <v>0.48668551546178201</v>
      </c>
      <c r="M143" s="4">
        <v>9.2944204961977108E-3</v>
      </c>
      <c r="N143" s="4">
        <v>0.13</v>
      </c>
      <c r="O143" s="4">
        <v>51.585999999999999</v>
      </c>
      <c r="P143" s="4">
        <v>111.868101540629</v>
      </c>
      <c r="Q143" s="4">
        <v>0.30140017549883602</v>
      </c>
    </row>
    <row r="144" spans="1:17" x14ac:dyDescent="0.15">
      <c r="A144" t="s">
        <v>26</v>
      </c>
      <c r="B144" s="3" t="s">
        <v>24</v>
      </c>
      <c r="C144" s="4">
        <v>1.1252</v>
      </c>
      <c r="D144" s="4">
        <v>1.8085</v>
      </c>
      <c r="E144" s="4">
        <v>2.7871999999999999</v>
      </c>
      <c r="F144" s="4">
        <v>1.1089</v>
      </c>
      <c r="G144" s="4">
        <v>6.8297999999999996</v>
      </c>
      <c r="H144" s="4">
        <v>0.164748601716009</v>
      </c>
      <c r="I144" s="4">
        <v>0.26479545521098702</v>
      </c>
      <c r="J144" s="4">
        <v>0.40809394125743098</v>
      </c>
      <c r="K144" s="4">
        <v>0.162362001815573</v>
      </c>
      <c r="L144" s="4">
        <v>0.43718876624031799</v>
      </c>
      <c r="M144" s="4">
        <v>3.2476499634360098E-3</v>
      </c>
      <c r="N144" s="4">
        <v>0.13500000000000001</v>
      </c>
      <c r="O144" s="4">
        <v>38.915500000000002</v>
      </c>
      <c r="P144" s="4">
        <v>140.28786805970799</v>
      </c>
      <c r="Q144" s="4">
        <v>0.42954405692699599</v>
      </c>
    </row>
    <row r="145" spans="1:17" x14ac:dyDescent="0.15">
      <c r="A145" t="s">
        <v>26</v>
      </c>
      <c r="B145" s="3" t="s">
        <v>24</v>
      </c>
      <c r="C145" s="4">
        <v>1.5066999999999999</v>
      </c>
      <c r="D145" s="4">
        <v>6.4795999999999996</v>
      </c>
      <c r="E145" s="4">
        <v>8.4298999999999999</v>
      </c>
      <c r="F145" s="4">
        <v>8.4030000000000005</v>
      </c>
      <c r="G145" s="4">
        <v>24.819199999999999</v>
      </c>
      <c r="H145" s="4">
        <v>6.0707033264569402E-2</v>
      </c>
      <c r="I145" s="4">
        <v>0.26107207323362602</v>
      </c>
      <c r="J145" s="4">
        <v>0.33965236591026299</v>
      </c>
      <c r="K145" s="4">
        <v>0.33856852759154199</v>
      </c>
      <c r="L145" s="4">
        <v>0.43932608653820499</v>
      </c>
      <c r="M145" s="4">
        <v>9.9926125031698197E-3</v>
      </c>
      <c r="N145" s="4">
        <v>0.15</v>
      </c>
      <c r="O145" s="4">
        <v>71.197000000000003</v>
      </c>
      <c r="P145" s="4">
        <v>130.27188575864301</v>
      </c>
      <c r="Q145" s="4">
        <v>0.32177910649819502</v>
      </c>
    </row>
    <row r="146" spans="1:17" x14ac:dyDescent="0.15">
      <c r="A146" t="s">
        <v>26</v>
      </c>
      <c r="B146" s="3" t="s">
        <v>24</v>
      </c>
      <c r="C146" s="4">
        <v>1.1521999999999999</v>
      </c>
      <c r="D146" s="4">
        <v>5.3109000000000002</v>
      </c>
      <c r="E146" s="4">
        <v>6.6139999999999999</v>
      </c>
      <c r="F146" s="4">
        <v>6.4417999999999997</v>
      </c>
      <c r="G146" s="4">
        <v>19.518899999999999</v>
      </c>
      <c r="H146" s="4">
        <v>5.9029965827992401E-2</v>
      </c>
      <c r="I146" s="4">
        <v>0.27209012802975602</v>
      </c>
      <c r="J146" s="4">
        <v>0.33885106230371598</v>
      </c>
      <c r="K146" s="4">
        <v>0.33002884383853598</v>
      </c>
      <c r="L146" s="4">
        <v>0.47675664273784601</v>
      </c>
      <c r="M146" s="4">
        <v>7.4576711528457299E-3</v>
      </c>
      <c r="N146" s="4">
        <v>0.13</v>
      </c>
      <c r="O146" s="4">
        <v>47.345999999999997</v>
      </c>
      <c r="P146" s="4">
        <v>111.698872229698</v>
      </c>
      <c r="Q146" s="4">
        <v>0.33112009385774799</v>
      </c>
    </row>
    <row r="147" spans="1:17" x14ac:dyDescent="0.15">
      <c r="A147" t="s">
        <v>26</v>
      </c>
      <c r="B147" s="3" t="s">
        <v>24</v>
      </c>
      <c r="C147" s="4">
        <v>1.4322999999999999</v>
      </c>
      <c r="D147" s="4">
        <v>3.0015000000000001</v>
      </c>
      <c r="E147" s="4">
        <v>6.0487000000000002</v>
      </c>
      <c r="F147" s="4">
        <v>5.2773000000000003</v>
      </c>
      <c r="G147" s="4">
        <v>15.7598</v>
      </c>
      <c r="H147" s="4">
        <v>9.0883133034683206E-2</v>
      </c>
      <c r="I147" s="4">
        <v>0.190452924529499</v>
      </c>
      <c r="J147" s="4">
        <v>0.38380563205116802</v>
      </c>
      <c r="K147" s="4">
        <v>0.33485831038465003</v>
      </c>
      <c r="L147" s="4">
        <v>0.49038473305998698</v>
      </c>
      <c r="M147" s="4">
        <v>8.49165821712956E-3</v>
      </c>
      <c r="N147" s="4">
        <v>0.19500000000000001</v>
      </c>
      <c r="O147" s="4">
        <v>86.371499999999997</v>
      </c>
      <c r="P147" s="4">
        <v>109.580951604495</v>
      </c>
      <c r="Q147" s="4">
        <v>0.28133605756418201</v>
      </c>
    </row>
    <row r="148" spans="1:17" x14ac:dyDescent="0.15">
      <c r="A148" t="s">
        <v>26</v>
      </c>
      <c r="B148" s="3" t="s">
        <v>24</v>
      </c>
      <c r="C148" s="4">
        <v>0.78620000000000001</v>
      </c>
      <c r="D148" s="4">
        <v>7.4351000000000003</v>
      </c>
      <c r="E148" s="4">
        <v>9.7798999999999996</v>
      </c>
      <c r="F148" s="4">
        <v>9.5764999999999993</v>
      </c>
      <c r="G148" s="4">
        <v>27.5777</v>
      </c>
      <c r="H148" s="4">
        <v>2.8508541321429999E-2</v>
      </c>
      <c r="I148" s="4">
        <v>0.26960551460056498</v>
      </c>
      <c r="J148" s="4">
        <v>0.354630734252675</v>
      </c>
      <c r="K148" s="4">
        <v>0.34725520982532998</v>
      </c>
      <c r="L148" s="4">
        <v>0.445383645191545</v>
      </c>
      <c r="M148" s="4">
        <v>1.13443012452624E-2</v>
      </c>
      <c r="N148" s="4">
        <v>0.245</v>
      </c>
      <c r="O148" s="4">
        <v>68.911500000000004</v>
      </c>
      <c r="P148" s="4">
        <v>99.905702369897696</v>
      </c>
      <c r="Q148" s="4">
        <v>0.29811405592199502</v>
      </c>
    </row>
    <row r="149" spans="1:17" x14ac:dyDescent="0.15">
      <c r="A149" t="s">
        <v>27</v>
      </c>
      <c r="B149" s="3" t="s">
        <v>18</v>
      </c>
      <c r="C149" s="4">
        <v>2.4007000000000001</v>
      </c>
      <c r="D149" s="4">
        <v>2.5137999999999998</v>
      </c>
      <c r="E149" s="4">
        <v>8.7144999999999992</v>
      </c>
      <c r="F149" s="4">
        <v>7.3966000000000003</v>
      </c>
      <c r="G149" s="4">
        <v>21.025600000000001</v>
      </c>
      <c r="H149" s="4">
        <v>0.114179856936306</v>
      </c>
      <c r="I149" s="4">
        <v>0.233738870709992</v>
      </c>
      <c r="J149" s="4">
        <v>0.41447093067498703</v>
      </c>
      <c r="K149" s="4">
        <v>0.35179019861502198</v>
      </c>
      <c r="L149" s="4">
        <v>0.26197591877283999</v>
      </c>
      <c r="M149" s="4">
        <v>4.7172434370104301E-2</v>
      </c>
      <c r="N149" s="4">
        <v>0.09</v>
      </c>
      <c r="O149" s="4">
        <v>237.17250000000001</v>
      </c>
      <c r="P149" s="4">
        <v>235.33094907743401</v>
      </c>
      <c r="Q149" s="4">
        <v>0.233738870709992</v>
      </c>
    </row>
    <row r="150" spans="1:17" x14ac:dyDescent="0.15">
      <c r="A150" t="s">
        <v>27</v>
      </c>
      <c r="B150" s="3" t="s">
        <v>18</v>
      </c>
      <c r="C150" s="4">
        <v>6.7001999999999997</v>
      </c>
      <c r="D150" s="4">
        <v>3.3658999999999999</v>
      </c>
      <c r="E150" s="4">
        <v>7.4741</v>
      </c>
      <c r="F150" s="4">
        <v>8.8008000000000006</v>
      </c>
      <c r="G150" s="4">
        <v>26.341000000000001</v>
      </c>
      <c r="H150" s="4">
        <v>0.25436391936524799</v>
      </c>
      <c r="I150" s="4">
        <v>0.38214570441516998</v>
      </c>
      <c r="J150" s="4">
        <v>0.28374397327360401</v>
      </c>
      <c r="K150" s="4">
        <v>0.334110322311226</v>
      </c>
      <c r="L150" s="4">
        <v>0.28769400015812002</v>
      </c>
      <c r="M150" s="4">
        <v>3.7132491419999303E-2</v>
      </c>
      <c r="N150" s="4">
        <v>0.1</v>
      </c>
      <c r="O150" s="4">
        <v>237.74449999999999</v>
      </c>
      <c r="P150" s="4">
        <v>194.226723919732</v>
      </c>
      <c r="Q150" s="4">
        <v>0.38214570441516998</v>
      </c>
    </row>
    <row r="151" spans="1:17" x14ac:dyDescent="0.15">
      <c r="A151" t="s">
        <v>27</v>
      </c>
      <c r="B151" s="3" t="s">
        <v>18</v>
      </c>
      <c r="C151" s="4">
        <v>3.5644</v>
      </c>
      <c r="D151" s="4">
        <v>4.9782000000000002</v>
      </c>
      <c r="E151" s="4">
        <v>10.3819</v>
      </c>
      <c r="F151" s="4">
        <v>9.2995000000000001</v>
      </c>
      <c r="G151" s="4">
        <v>28.224</v>
      </c>
      <c r="H151" s="4">
        <v>0.12628968253968301</v>
      </c>
      <c r="I151" s="4">
        <v>0.30267148526077098</v>
      </c>
      <c r="J151" s="4">
        <v>0.36783942743764197</v>
      </c>
      <c r="K151" s="4">
        <v>0.32948908730158699</v>
      </c>
      <c r="L151" s="4">
        <v>0.26343317358331098</v>
      </c>
      <c r="M151" s="4">
        <v>3.8177729812706701E-2</v>
      </c>
      <c r="N151" s="4">
        <v>0.14499999999999999</v>
      </c>
      <c r="O151" s="4">
        <v>215.22149999999999</v>
      </c>
      <c r="P151" s="4">
        <v>213.569782577956</v>
      </c>
      <c r="Q151" s="4">
        <v>0.30267148526077098</v>
      </c>
    </row>
    <row r="152" spans="1:17" x14ac:dyDescent="0.15">
      <c r="A152" t="s">
        <v>27</v>
      </c>
      <c r="B152" s="3" t="s">
        <v>18</v>
      </c>
      <c r="C152" s="4">
        <v>5.8704000000000001</v>
      </c>
      <c r="D152" s="4">
        <v>5.7497999999999996</v>
      </c>
      <c r="E152" s="4">
        <v>10.915699999999999</v>
      </c>
      <c r="F152" s="4">
        <v>10.5961</v>
      </c>
      <c r="G152" s="4">
        <v>33.131999999999998</v>
      </c>
      <c r="H152" s="4">
        <v>0.17718218036943101</v>
      </c>
      <c r="I152" s="4">
        <v>0.35072437522636701</v>
      </c>
      <c r="J152" s="4">
        <v>0.32946094410237797</v>
      </c>
      <c r="K152" s="4">
        <v>0.31981468067125401</v>
      </c>
      <c r="L152" s="4">
        <v>0.26677984332893501</v>
      </c>
      <c r="M152" s="4">
        <v>3.8208635775908703E-2</v>
      </c>
      <c r="N152" s="4">
        <v>0.12</v>
      </c>
      <c r="O152" s="4">
        <v>176.36449999999999</v>
      </c>
      <c r="P152" s="4">
        <v>177.570769669893</v>
      </c>
      <c r="Q152" s="4">
        <v>0.35072437522636701</v>
      </c>
    </row>
    <row r="153" spans="1:17" x14ac:dyDescent="0.15">
      <c r="A153" t="s">
        <v>27</v>
      </c>
      <c r="B153" s="3" t="s">
        <v>18</v>
      </c>
      <c r="C153" s="4">
        <v>4.9482999999999997</v>
      </c>
      <c r="D153" s="4">
        <v>3.6131000000000002</v>
      </c>
      <c r="E153" s="4">
        <v>6.2176999999999998</v>
      </c>
      <c r="F153" s="4">
        <v>8.0846</v>
      </c>
      <c r="G153" s="4">
        <v>22.863700000000001</v>
      </c>
      <c r="H153" s="4">
        <v>0.216426037780412</v>
      </c>
      <c r="I153" s="4">
        <v>0.37445382855793202</v>
      </c>
      <c r="J153" s="4">
        <v>0.27194636038786402</v>
      </c>
      <c r="K153" s="4">
        <v>0.35359981105420402</v>
      </c>
      <c r="L153" s="4">
        <v>0.25492066200869101</v>
      </c>
      <c r="M153" s="4">
        <v>4.1609004410546699E-2</v>
      </c>
      <c r="N153" s="4">
        <v>0.1</v>
      </c>
      <c r="O153" s="4">
        <v>163.24449999999999</v>
      </c>
      <c r="P153" s="4">
        <v>215.13930048413599</v>
      </c>
      <c r="Q153" s="4">
        <v>0.37445382855793202</v>
      </c>
    </row>
    <row r="154" spans="1:17" x14ac:dyDescent="0.15">
      <c r="A154" t="s">
        <v>27</v>
      </c>
      <c r="B154" s="3" t="s">
        <v>18</v>
      </c>
      <c r="C154" s="4">
        <v>3.9977999999999998</v>
      </c>
      <c r="D154" s="4">
        <v>3.0247999999999999</v>
      </c>
      <c r="E154" s="4">
        <v>6.4518000000000004</v>
      </c>
      <c r="F154" s="4">
        <v>7.0625999999999998</v>
      </c>
      <c r="G154" s="4">
        <v>20.536999999999999</v>
      </c>
      <c r="H154" s="4">
        <v>0.19466329064615101</v>
      </c>
      <c r="I154" s="4">
        <v>0.34194867799581202</v>
      </c>
      <c r="J154" s="4">
        <v>0.314154939864635</v>
      </c>
      <c r="K154" s="4">
        <v>0.34389638213955298</v>
      </c>
      <c r="L154" s="4">
        <v>0.28170683296510801</v>
      </c>
      <c r="M154" s="4">
        <v>4.20764248622034E-2</v>
      </c>
      <c r="N154" s="4">
        <v>0.13</v>
      </c>
      <c r="O154" s="4">
        <v>159.9075</v>
      </c>
      <c r="P154" s="4">
        <v>197.77014343473201</v>
      </c>
      <c r="Q154" s="4">
        <v>0.34194867799581202</v>
      </c>
    </row>
    <row r="155" spans="1:17" x14ac:dyDescent="0.15">
      <c r="A155" t="s">
        <v>27</v>
      </c>
      <c r="B155" s="3" t="s">
        <v>18</v>
      </c>
      <c r="C155" s="4">
        <v>2.1368999999999998</v>
      </c>
      <c r="D155" s="4">
        <v>2.4933000000000001</v>
      </c>
      <c r="E155" s="4">
        <v>6.0289000000000001</v>
      </c>
      <c r="F155" s="4">
        <v>8.3731000000000009</v>
      </c>
      <c r="G155" s="4">
        <v>19.0322</v>
      </c>
      <c r="H155" s="4">
        <v>0.112278139153645</v>
      </c>
      <c r="I155" s="4">
        <v>0.24328243713285899</v>
      </c>
      <c r="J155" s="4">
        <v>0.31677367829257802</v>
      </c>
      <c r="K155" s="4">
        <v>0.43994388457456302</v>
      </c>
      <c r="L155" s="4">
        <v>0.284188497767558</v>
      </c>
      <c r="M155" s="4">
        <v>4.6294116391828899E-2</v>
      </c>
      <c r="N155" s="4">
        <v>0.13500000000000001</v>
      </c>
      <c r="O155" s="4">
        <v>157.18600000000001</v>
      </c>
      <c r="P155" s="4">
        <v>169.68860082514101</v>
      </c>
      <c r="Q155" s="4">
        <v>0.24328243713285899</v>
      </c>
    </row>
    <row r="156" spans="1:17" x14ac:dyDescent="0.15">
      <c r="A156" t="s">
        <v>27</v>
      </c>
      <c r="B156" s="3" t="s">
        <v>19</v>
      </c>
      <c r="C156" s="4">
        <v>1.8815999999999999</v>
      </c>
      <c r="D156" s="4">
        <v>0.86180000000000001</v>
      </c>
      <c r="E156" s="4">
        <v>1.9129</v>
      </c>
      <c r="F156" s="4">
        <v>2.8872</v>
      </c>
      <c r="G156" s="4">
        <v>7.5434999999999999</v>
      </c>
      <c r="H156" s="4">
        <v>0.24943328693577199</v>
      </c>
      <c r="I156" s="4">
        <v>0.363677338105654</v>
      </c>
      <c r="J156" s="4">
        <v>0.25358255451713402</v>
      </c>
      <c r="K156" s="4">
        <v>0.38274010737721198</v>
      </c>
      <c r="L156" s="4">
        <v>0.31297417606126599</v>
      </c>
      <c r="M156" s="4">
        <v>2.62551489394687E-2</v>
      </c>
      <c r="N156" s="4">
        <v>0.185</v>
      </c>
      <c r="O156" s="4">
        <v>84.016000000000005</v>
      </c>
      <c r="P156" s="4">
        <v>199.14085907834499</v>
      </c>
      <c r="Q156" s="4">
        <v>0.363677338105654</v>
      </c>
    </row>
    <row r="157" spans="1:17" x14ac:dyDescent="0.15">
      <c r="A157" t="s">
        <v>27</v>
      </c>
      <c r="B157" s="3" t="s">
        <v>19</v>
      </c>
      <c r="C157" s="4">
        <v>2.6301000000000001</v>
      </c>
      <c r="D157" s="4">
        <v>1.9558</v>
      </c>
      <c r="E157" s="4">
        <v>3.4820000000000002</v>
      </c>
      <c r="F157" s="4">
        <v>4.13</v>
      </c>
      <c r="G157" s="4">
        <v>12.197900000000001</v>
      </c>
      <c r="H157" s="4">
        <v>0.21561908197312701</v>
      </c>
      <c r="I157" s="4">
        <v>0.37595815673189598</v>
      </c>
      <c r="J157" s="4">
        <v>0.28545897244607699</v>
      </c>
      <c r="K157" s="4">
        <v>0.33858287082202698</v>
      </c>
      <c r="L157" s="4">
        <v>0.25835523118044601</v>
      </c>
      <c r="M157" s="4">
        <v>3.0209118441765302E-2</v>
      </c>
      <c r="N157" s="4">
        <v>0.17499999999999999</v>
      </c>
      <c r="O157" s="4">
        <v>144.52199999999999</v>
      </c>
      <c r="P157" s="4">
        <v>233.56038419633299</v>
      </c>
      <c r="Q157" s="4">
        <v>0.37595815673189598</v>
      </c>
    </row>
    <row r="158" spans="1:17" x14ac:dyDescent="0.15">
      <c r="A158" t="s">
        <v>27</v>
      </c>
      <c r="B158" s="3" t="s">
        <v>19</v>
      </c>
      <c r="C158" s="4">
        <v>2.9260999999999999</v>
      </c>
      <c r="D158" s="4">
        <v>4.1336000000000004</v>
      </c>
      <c r="E158" s="4">
        <v>8.5185999999999993</v>
      </c>
      <c r="F158" s="4">
        <v>8.3739000000000008</v>
      </c>
      <c r="G158" s="4">
        <v>23.952200000000001</v>
      </c>
      <c r="H158" s="4">
        <v>0.12216414358597499</v>
      </c>
      <c r="I158" s="4">
        <v>0.29474119287581102</v>
      </c>
      <c r="J158" s="4">
        <v>0.355650002922487</v>
      </c>
      <c r="K158" s="4">
        <v>0.34960880420170198</v>
      </c>
      <c r="L158" s="4">
        <v>0.28855850946155198</v>
      </c>
      <c r="M158" s="4">
        <v>3.72158420059144E-2</v>
      </c>
      <c r="N158" s="4">
        <v>0.17499999999999999</v>
      </c>
      <c r="O158" s="4">
        <v>98.748500000000007</v>
      </c>
      <c r="P158" s="4">
        <v>203.35326101401299</v>
      </c>
      <c r="Q158" s="4">
        <v>0.29474119287581102</v>
      </c>
    </row>
    <row r="159" spans="1:17" x14ac:dyDescent="0.15">
      <c r="A159" t="s">
        <v>27</v>
      </c>
      <c r="B159" s="3" t="s">
        <v>19</v>
      </c>
      <c r="C159" s="4">
        <v>2.0789</v>
      </c>
      <c r="D159" s="4">
        <v>2.4144999999999999</v>
      </c>
      <c r="E159" s="4">
        <v>4.9109999999999996</v>
      </c>
      <c r="F159" s="4">
        <v>4.6874000000000002</v>
      </c>
      <c r="G159" s="4">
        <v>14.091799999999999</v>
      </c>
      <c r="H159" s="4">
        <v>0.14752551129025401</v>
      </c>
      <c r="I159" s="4">
        <v>0.31886629103450198</v>
      </c>
      <c r="J159" s="4">
        <v>0.34850054641706502</v>
      </c>
      <c r="K159" s="4">
        <v>0.332633162548432</v>
      </c>
      <c r="L159" s="4">
        <v>0.26085921177027999</v>
      </c>
      <c r="M159" s="4">
        <v>3.23533313265627E-2</v>
      </c>
      <c r="N159" s="4">
        <v>0.14000000000000001</v>
      </c>
      <c r="O159" s="4">
        <v>162.821</v>
      </c>
      <c r="P159" s="4">
        <v>224.27730646900301</v>
      </c>
      <c r="Q159" s="4">
        <v>0.31886629103450198</v>
      </c>
    </row>
    <row r="160" spans="1:17" x14ac:dyDescent="0.15">
      <c r="A160" t="s">
        <v>27</v>
      </c>
      <c r="B160" s="3" t="s">
        <v>19</v>
      </c>
      <c r="C160" s="4">
        <v>3.9161000000000001</v>
      </c>
      <c r="D160" s="4">
        <v>2.0411999999999999</v>
      </c>
      <c r="E160" s="4">
        <v>5.6585999999999999</v>
      </c>
      <c r="F160" s="4">
        <v>6.6816000000000004</v>
      </c>
      <c r="G160" s="4">
        <v>18.297499999999999</v>
      </c>
      <c r="H160" s="4">
        <v>0.21402377373958201</v>
      </c>
      <c r="I160" s="4">
        <v>0.32557999726738601</v>
      </c>
      <c r="J160" s="4">
        <v>0.30925536275447502</v>
      </c>
      <c r="K160" s="4">
        <v>0.36516463997813903</v>
      </c>
      <c r="L160" s="4">
        <v>0.26123595931465898</v>
      </c>
      <c r="M160" s="4">
        <v>4.0003383853305999E-2</v>
      </c>
      <c r="N160" s="4">
        <v>0.16</v>
      </c>
      <c r="O160" s="4">
        <v>158.03800000000001</v>
      </c>
      <c r="P160" s="4">
        <v>263.80282360150699</v>
      </c>
      <c r="Q160" s="4">
        <v>0.32557999726738601</v>
      </c>
    </row>
    <row r="161" spans="1:18" x14ac:dyDescent="0.15">
      <c r="A161" t="s">
        <v>27</v>
      </c>
      <c r="B161" s="3" t="s">
        <v>19</v>
      </c>
      <c r="C161" s="4">
        <v>1.1056999999999999</v>
      </c>
      <c r="D161" s="4">
        <v>1.3449</v>
      </c>
      <c r="E161" s="4">
        <v>4.3982999999999999</v>
      </c>
      <c r="F161" s="4">
        <v>5.3178000000000001</v>
      </c>
      <c r="G161" s="4">
        <v>12.166700000000001</v>
      </c>
      <c r="H161" s="4">
        <v>9.0879203070676498E-2</v>
      </c>
      <c r="I161" s="4">
        <v>0.20141862625033899</v>
      </c>
      <c r="J161" s="4">
        <v>0.36150311916953598</v>
      </c>
      <c r="K161" s="4">
        <v>0.437078254580124</v>
      </c>
      <c r="L161" s="4">
        <v>0.28945408630552</v>
      </c>
      <c r="M161" s="4">
        <v>3.8915117164807098E-2</v>
      </c>
      <c r="N161" s="4">
        <v>0.12</v>
      </c>
      <c r="O161" s="4">
        <v>118.7655</v>
      </c>
      <c r="P161" s="4">
        <v>201.84047150805901</v>
      </c>
      <c r="Q161" s="4">
        <v>0.20141862625033899</v>
      </c>
    </row>
    <row r="162" spans="1:18" x14ac:dyDescent="0.15">
      <c r="A162" t="s">
        <v>27</v>
      </c>
      <c r="B162" s="3" t="s">
        <v>19</v>
      </c>
      <c r="C162" s="4">
        <v>3.2521</v>
      </c>
      <c r="D162" s="4">
        <v>3.1686000000000001</v>
      </c>
      <c r="E162" s="4">
        <v>6.8609999999999998</v>
      </c>
      <c r="F162" s="4">
        <v>8.9375999999999998</v>
      </c>
      <c r="G162" s="4">
        <v>22.2193</v>
      </c>
      <c r="H162" s="4">
        <v>0.146363746832709</v>
      </c>
      <c r="I162" s="4">
        <v>0.28896949948918299</v>
      </c>
      <c r="J162" s="4">
        <v>0.30878560530709798</v>
      </c>
      <c r="K162" s="4">
        <v>0.40224489520371898</v>
      </c>
      <c r="L162" s="4">
        <v>0.30987430275357097</v>
      </c>
      <c r="M162" s="4">
        <v>3.5749679615226702E-2</v>
      </c>
      <c r="N162" s="4">
        <v>0.19</v>
      </c>
      <c r="O162" s="4">
        <v>95.123999999999995</v>
      </c>
      <c r="P162" s="4">
        <v>182.48702895247999</v>
      </c>
      <c r="Q162" s="4">
        <v>0.28896949948918299</v>
      </c>
    </row>
    <row r="163" spans="1:18" x14ac:dyDescent="0.15">
      <c r="A163" t="s">
        <v>27</v>
      </c>
      <c r="B163" s="3" t="s">
        <v>20</v>
      </c>
      <c r="C163" s="4">
        <v>4.9025999999999996</v>
      </c>
      <c r="D163" s="4">
        <v>4.1258999999999997</v>
      </c>
      <c r="E163" s="4">
        <v>14.3127</v>
      </c>
      <c r="F163" s="4">
        <v>11.732200000000001</v>
      </c>
      <c r="G163" s="4">
        <v>35.073399999999999</v>
      </c>
      <c r="H163" s="4">
        <v>0.13978114468514599</v>
      </c>
      <c r="I163" s="4">
        <v>0.25741730200094698</v>
      </c>
      <c r="J163" s="4">
        <v>0.40807848683047598</v>
      </c>
      <c r="K163" s="4">
        <v>0.33450421116857798</v>
      </c>
      <c r="L163" s="4">
        <v>0.30657523535833903</v>
      </c>
      <c r="M163" s="4">
        <v>4.18767123462725E-2</v>
      </c>
      <c r="N163" s="4">
        <v>0.125</v>
      </c>
      <c r="O163" s="4">
        <v>160.96100000000001</v>
      </c>
      <c r="P163" s="4">
        <v>203.59747069816601</v>
      </c>
      <c r="Q163" s="4">
        <v>0.25741730200094698</v>
      </c>
    </row>
    <row r="164" spans="1:18" x14ac:dyDescent="0.15">
      <c r="A164" t="s">
        <v>27</v>
      </c>
      <c r="B164" s="3" t="s">
        <v>20</v>
      </c>
      <c r="C164" s="4">
        <v>3.2225999999999999</v>
      </c>
      <c r="D164" s="4">
        <v>2.9975000000000001</v>
      </c>
      <c r="E164" s="4">
        <v>9.7585999999999995</v>
      </c>
      <c r="F164" s="4">
        <v>10.113099999999999</v>
      </c>
      <c r="G164" s="4">
        <v>26.091799999999999</v>
      </c>
      <c r="H164" s="4">
        <v>0.123510068297319</v>
      </c>
      <c r="I164" s="4">
        <v>0.23839290505062899</v>
      </c>
      <c r="J164" s="4">
        <v>0.37401022543481099</v>
      </c>
      <c r="K164" s="4">
        <v>0.38759686951456002</v>
      </c>
      <c r="L164" s="4">
        <v>0.26566827845119301</v>
      </c>
      <c r="M164" s="4">
        <v>4.3634252274328503E-2</v>
      </c>
      <c r="N164" s="4">
        <v>0.12</v>
      </c>
      <c r="O164" s="4">
        <v>196.78749999999999</v>
      </c>
      <c r="P164" s="4">
        <v>201.54718285881401</v>
      </c>
      <c r="Q164" s="4">
        <v>0.23839290505062899</v>
      </c>
    </row>
    <row r="165" spans="1:18" x14ac:dyDescent="0.15">
      <c r="A165" t="s">
        <v>27</v>
      </c>
      <c r="B165" s="3" t="s">
        <v>20</v>
      </c>
      <c r="C165" s="4">
        <v>4.0784000000000002</v>
      </c>
      <c r="D165" s="4">
        <v>4.5262000000000002</v>
      </c>
      <c r="E165" s="4">
        <v>15.0959</v>
      </c>
      <c r="F165" s="4">
        <v>12.6806</v>
      </c>
      <c r="G165" s="4">
        <v>36.381100000000004</v>
      </c>
      <c r="H165" s="4">
        <v>0.11210216293625</v>
      </c>
      <c r="I165" s="4">
        <v>0.236512914672728</v>
      </c>
      <c r="J165" s="4">
        <v>0.41493797603700799</v>
      </c>
      <c r="K165" s="4">
        <v>0.348549109290263</v>
      </c>
      <c r="L165" s="4">
        <v>0.29863160478711898</v>
      </c>
      <c r="M165" s="4">
        <v>4.2626755105578701E-2</v>
      </c>
      <c r="N165" s="4">
        <v>0.115</v>
      </c>
      <c r="O165" s="4">
        <v>212.702</v>
      </c>
      <c r="P165" s="4">
        <v>264.33117591566702</v>
      </c>
      <c r="Q165" s="4">
        <v>0.236512914672728</v>
      </c>
    </row>
    <row r="166" spans="1:18" x14ac:dyDescent="0.15">
      <c r="A166" t="s">
        <v>27</v>
      </c>
      <c r="B166" s="3" t="s">
        <v>20</v>
      </c>
      <c r="C166" s="4">
        <v>3.4992999999999999</v>
      </c>
      <c r="D166" s="4">
        <v>4.2484999999999999</v>
      </c>
      <c r="E166" s="4">
        <v>10.286899999999999</v>
      </c>
      <c r="F166" s="4">
        <v>11.6275</v>
      </c>
      <c r="G166" s="4">
        <v>29.662199999999999</v>
      </c>
      <c r="H166" s="4">
        <v>0.11797169461469501</v>
      </c>
      <c r="I166" s="4">
        <v>0.26120112466371298</v>
      </c>
      <c r="J166" s="4">
        <v>0.34680165328262902</v>
      </c>
      <c r="K166" s="4">
        <v>0.391997222053657</v>
      </c>
      <c r="L166" s="4">
        <v>0.29630783944241201</v>
      </c>
      <c r="M166" s="4">
        <v>4.2555462596518802E-2</v>
      </c>
      <c r="N166" s="4">
        <v>0.14000000000000001</v>
      </c>
      <c r="O166" s="4">
        <v>116.426</v>
      </c>
      <c r="P166" s="4">
        <v>186.57572581141099</v>
      </c>
      <c r="Q166" s="4">
        <v>0.26120112466371298</v>
      </c>
      <c r="R166" s="6"/>
    </row>
    <row r="167" spans="1:18" x14ac:dyDescent="0.15">
      <c r="A167" t="s">
        <v>27</v>
      </c>
      <c r="B167" s="3" t="s">
        <v>20</v>
      </c>
      <c r="C167" s="4">
        <v>2.1128999999999998</v>
      </c>
      <c r="D167" s="4">
        <v>1.2242999999999999</v>
      </c>
      <c r="E167" s="4">
        <v>3.2879999999999998</v>
      </c>
      <c r="F167" s="4">
        <v>5.1238999999999999</v>
      </c>
      <c r="G167" s="4">
        <v>11.7491</v>
      </c>
      <c r="H167" s="4">
        <v>0.17983505119541099</v>
      </c>
      <c r="I167" s="4">
        <v>0.28403877743827199</v>
      </c>
      <c r="J167" s="4">
        <v>0.27985122264684098</v>
      </c>
      <c r="K167" s="4">
        <v>0.43610999991488703</v>
      </c>
      <c r="L167" s="4">
        <v>0.26864046089975502</v>
      </c>
      <c r="M167" s="4">
        <v>3.8965114388714098E-2</v>
      </c>
      <c r="N167" s="4">
        <v>0.1</v>
      </c>
      <c r="O167" s="4">
        <v>144.40299999999999</v>
      </c>
      <c r="P167" s="4">
        <v>266.79462059745498</v>
      </c>
      <c r="Q167" s="4">
        <v>0.28403877743827199</v>
      </c>
    </row>
    <row r="168" spans="1:18" x14ac:dyDescent="0.15">
      <c r="A168" t="s">
        <v>27</v>
      </c>
      <c r="B168" s="3" t="s">
        <v>20</v>
      </c>
      <c r="C168" s="4">
        <v>3.8447</v>
      </c>
      <c r="D168" s="4">
        <v>4.9143999999999997</v>
      </c>
      <c r="E168" s="4">
        <v>15.715400000000001</v>
      </c>
      <c r="F168" s="4">
        <v>17.380099999999999</v>
      </c>
      <c r="G168" s="4">
        <v>41.854599999999998</v>
      </c>
      <c r="H168" s="4">
        <v>9.1858481505019796E-2</v>
      </c>
      <c r="I168" s="4">
        <v>0.209274488347756</v>
      </c>
      <c r="J168" s="4">
        <v>0.37547605281139901</v>
      </c>
      <c r="K168" s="4">
        <v>0.41524945884084402</v>
      </c>
      <c r="L168" s="4">
        <v>0.26422575012001298</v>
      </c>
      <c r="M168" s="4">
        <v>4.4595667161131898E-2</v>
      </c>
      <c r="N168" s="4">
        <v>0.115</v>
      </c>
      <c r="O168" s="4">
        <v>285.09750000000003</v>
      </c>
      <c r="P168" s="4">
        <v>256.45108487393401</v>
      </c>
      <c r="Q168" s="4">
        <v>0.209274488347756</v>
      </c>
    </row>
    <row r="169" spans="1:18" x14ac:dyDescent="0.15">
      <c r="A169" t="s">
        <v>27</v>
      </c>
      <c r="B169" s="3" t="s">
        <v>20</v>
      </c>
      <c r="C169" s="4">
        <v>2.5752999999999999</v>
      </c>
      <c r="D169" s="4">
        <v>2.5061</v>
      </c>
      <c r="E169" s="4">
        <v>10.8902</v>
      </c>
      <c r="F169" s="4">
        <v>9.1920000000000002</v>
      </c>
      <c r="G169" s="4">
        <v>25.163599999999999</v>
      </c>
      <c r="H169" s="4">
        <v>0.102342272170914</v>
      </c>
      <c r="I169" s="4">
        <v>0.20193454036783301</v>
      </c>
      <c r="J169" s="4">
        <v>0.432775914416061</v>
      </c>
      <c r="K169" s="4">
        <v>0.36528954521610602</v>
      </c>
      <c r="L169" s="4">
        <v>0.265239292671551</v>
      </c>
      <c r="M169" s="4">
        <v>4.3634274303087299E-2</v>
      </c>
      <c r="N169" s="4">
        <v>0.12</v>
      </c>
      <c r="O169" s="4">
        <v>280.18299999999999</v>
      </c>
      <c r="P169" s="4">
        <v>275.227397317422</v>
      </c>
      <c r="Q169" s="4">
        <v>0.20193454036783301</v>
      </c>
    </row>
    <row r="170" spans="1:18" x14ac:dyDescent="0.15">
      <c r="A170" t="s">
        <v>27</v>
      </c>
      <c r="B170" s="3" t="s">
        <v>21</v>
      </c>
      <c r="C170" s="4">
        <v>6.2191999999999998</v>
      </c>
      <c r="D170" s="4">
        <v>3.4683000000000002</v>
      </c>
      <c r="E170" s="4">
        <v>17.268000000000001</v>
      </c>
      <c r="F170" s="4">
        <v>18.162299999999998</v>
      </c>
      <c r="G170" s="4">
        <v>45.117800000000003</v>
      </c>
      <c r="H170" s="4">
        <v>0.137843600530168</v>
      </c>
      <c r="I170" s="4">
        <v>0.21471569979032701</v>
      </c>
      <c r="J170" s="4">
        <v>0.38273142750754702</v>
      </c>
      <c r="K170" s="4">
        <v>0.40255287270212597</v>
      </c>
      <c r="L170" s="4">
        <v>0.364747095963877</v>
      </c>
      <c r="M170" s="4">
        <v>4.53969461073628E-2</v>
      </c>
      <c r="N170" s="4">
        <v>0.20499999999999999</v>
      </c>
      <c r="O170" s="4">
        <v>123.45399999999999</v>
      </c>
      <c r="P170" s="4">
        <v>113.74371445752099</v>
      </c>
      <c r="Q170" s="4">
        <v>0.21471569979032701</v>
      </c>
    </row>
    <row r="171" spans="1:18" x14ac:dyDescent="0.15">
      <c r="A171" t="s">
        <v>27</v>
      </c>
      <c r="B171" s="3" t="s">
        <v>21</v>
      </c>
      <c r="C171" s="4">
        <v>4.3238000000000003</v>
      </c>
      <c r="D171" s="4">
        <v>21.062899999999999</v>
      </c>
      <c r="E171" s="4">
        <v>24.481000000000002</v>
      </c>
      <c r="F171" s="4">
        <v>18.452200000000001</v>
      </c>
      <c r="G171" s="4">
        <v>68.319900000000004</v>
      </c>
      <c r="H171" s="4">
        <v>6.3287563360016605E-2</v>
      </c>
      <c r="I171" s="4">
        <v>0.37158573124375199</v>
      </c>
      <c r="J171" s="4">
        <v>0.35832897881876302</v>
      </c>
      <c r="K171" s="4">
        <v>0.27008528993748498</v>
      </c>
      <c r="L171" s="4">
        <v>0.37683717292368801</v>
      </c>
      <c r="M171" s="4">
        <v>4.35751295754708E-2</v>
      </c>
      <c r="N171" s="4">
        <v>0.22</v>
      </c>
      <c r="O171" s="4">
        <v>129.625</v>
      </c>
      <c r="P171" s="4">
        <v>105.16877129382399</v>
      </c>
      <c r="Q171" s="4">
        <v>0.37158573124375199</v>
      </c>
    </row>
    <row r="172" spans="1:18" x14ac:dyDescent="0.15">
      <c r="A172" t="s">
        <v>27</v>
      </c>
      <c r="B172" s="3" t="s">
        <v>21</v>
      </c>
      <c r="C172" s="4">
        <v>8.0978999999999992</v>
      </c>
      <c r="D172" s="4">
        <v>13.4796</v>
      </c>
      <c r="E172" s="4">
        <v>4.8540999999999999</v>
      </c>
      <c r="F172" s="4">
        <v>6.4055</v>
      </c>
      <c r="G172" s="4">
        <v>32.8371</v>
      </c>
      <c r="H172" s="4">
        <v>0.24660825712380199</v>
      </c>
      <c r="I172" s="4">
        <v>0.65710735722703895</v>
      </c>
      <c r="J172" s="4">
        <v>0.14782365068778899</v>
      </c>
      <c r="K172" s="4">
        <v>0.195068992085172</v>
      </c>
      <c r="L172" s="4">
        <v>0.34474234116472502</v>
      </c>
      <c r="M172" s="4">
        <v>3.7043678538274297E-2</v>
      </c>
      <c r="N172" s="4">
        <v>0.215</v>
      </c>
      <c r="O172" s="4">
        <v>101.02249999999999</v>
      </c>
      <c r="P172" s="4">
        <v>111.204784429478</v>
      </c>
      <c r="Q172" s="4">
        <v>0.65710735722703895</v>
      </c>
    </row>
    <row r="173" spans="1:18" x14ac:dyDescent="0.15">
      <c r="A173" t="s">
        <v>27</v>
      </c>
      <c r="B173" s="3" t="s">
        <v>21</v>
      </c>
      <c r="C173" s="4">
        <v>13.4476</v>
      </c>
      <c r="D173" s="4">
        <v>12.0793</v>
      </c>
      <c r="E173" s="4">
        <v>11.6904</v>
      </c>
      <c r="F173" s="4">
        <v>14.543100000000001</v>
      </c>
      <c r="G173" s="4">
        <v>51.760399999999997</v>
      </c>
      <c r="H173" s="4">
        <v>0.259804792853224</v>
      </c>
      <c r="I173" s="4">
        <v>0.49317431859104599</v>
      </c>
      <c r="J173" s="4">
        <v>0.225856059844978</v>
      </c>
      <c r="K173" s="4">
        <v>0.28096962156397598</v>
      </c>
      <c r="L173" s="4">
        <v>0.38943852862152201</v>
      </c>
      <c r="M173" s="4">
        <v>4.3594319179023303E-2</v>
      </c>
      <c r="N173" s="4">
        <v>0.25</v>
      </c>
      <c r="O173" s="4">
        <v>149.67949999999999</v>
      </c>
      <c r="P173" s="4">
        <v>91.465248265608494</v>
      </c>
      <c r="Q173" s="4">
        <v>0.49317431859104599</v>
      </c>
    </row>
    <row r="174" spans="1:18" x14ac:dyDescent="0.15">
      <c r="A174" t="s">
        <v>27</v>
      </c>
      <c r="B174" s="3" t="s">
        <v>21</v>
      </c>
      <c r="C174" s="4">
        <v>16.6248</v>
      </c>
      <c r="D174" s="4">
        <v>10.839600000000001</v>
      </c>
      <c r="E174" s="4">
        <v>9.3955000000000002</v>
      </c>
      <c r="F174" s="4">
        <v>8.5785999999999998</v>
      </c>
      <c r="G174" s="4">
        <v>45.438499999999998</v>
      </c>
      <c r="H174" s="4">
        <v>0.36587475378808698</v>
      </c>
      <c r="I174" s="4">
        <v>0.60443016384783799</v>
      </c>
      <c r="J174" s="4">
        <v>0.2067739912189</v>
      </c>
      <c r="K174" s="4">
        <v>0.18879584493326099</v>
      </c>
      <c r="L174" s="4">
        <v>0.321579304408458</v>
      </c>
      <c r="M174" s="4">
        <v>4.1294882053773102E-2</v>
      </c>
      <c r="N174" s="4">
        <v>0.22</v>
      </c>
      <c r="O174" s="4">
        <v>156.929</v>
      </c>
      <c r="P174" s="4">
        <v>125.28565597749299</v>
      </c>
      <c r="Q174" s="4">
        <v>0.60443016384783799</v>
      </c>
    </row>
    <row r="175" spans="1:18" x14ac:dyDescent="0.15">
      <c r="A175" t="s">
        <v>27</v>
      </c>
      <c r="B175" s="3" t="s">
        <v>21</v>
      </c>
      <c r="C175" s="4">
        <v>4.4051</v>
      </c>
      <c r="D175" s="4">
        <v>1.0165999999999999</v>
      </c>
      <c r="E175" s="4">
        <v>0.92630000000000001</v>
      </c>
      <c r="F175" s="4">
        <v>1.6711</v>
      </c>
      <c r="G175" s="4">
        <v>8.0190999999999999</v>
      </c>
      <c r="H175" s="4">
        <v>0.54932598421269196</v>
      </c>
      <c r="I175" s="4">
        <v>0.67609831527228703</v>
      </c>
      <c r="J175" s="4">
        <v>0.11551171577857899</v>
      </c>
      <c r="K175" s="4">
        <v>0.208389968949134</v>
      </c>
      <c r="L175" s="4">
        <v>0.28678714075879302</v>
      </c>
      <c r="M175" s="4">
        <v>3.2716947454814599E-2</v>
      </c>
      <c r="N175" s="4">
        <v>0.20499999999999999</v>
      </c>
      <c r="O175" s="4">
        <v>57.11</v>
      </c>
      <c r="P175" s="4">
        <v>175.51190602586399</v>
      </c>
      <c r="Q175" s="4">
        <v>0.67609831527228703</v>
      </c>
    </row>
    <row r="176" spans="1:18" x14ac:dyDescent="0.15">
      <c r="A176" t="s">
        <v>27</v>
      </c>
      <c r="B176" s="3" t="s">
        <v>21</v>
      </c>
      <c r="C176" s="4">
        <v>9.6003000000000007</v>
      </c>
      <c r="D176" s="4">
        <v>10.0969</v>
      </c>
      <c r="E176" s="4">
        <v>11.811400000000001</v>
      </c>
      <c r="F176" s="4">
        <v>11.8888</v>
      </c>
      <c r="G176" s="4">
        <v>43.397399999999998</v>
      </c>
      <c r="H176" s="4">
        <v>0.22121832183494899</v>
      </c>
      <c r="I176" s="4">
        <v>0.45387972551351002</v>
      </c>
      <c r="J176" s="4">
        <v>0.27216837875080102</v>
      </c>
      <c r="K176" s="4">
        <v>0.27395189573568901</v>
      </c>
      <c r="L176" s="4">
        <v>0.35666913854745502</v>
      </c>
      <c r="M176" s="4">
        <v>4.4000144638452497E-2</v>
      </c>
      <c r="N176" s="4">
        <v>0.155</v>
      </c>
      <c r="O176" s="4">
        <v>130.66650000000001</v>
      </c>
      <c r="P176" s="4">
        <v>101.46282018378299</v>
      </c>
      <c r="Q176" s="4">
        <v>0.45387972551351002</v>
      </c>
    </row>
    <row r="177" spans="1:17" x14ac:dyDescent="0.15">
      <c r="A177" t="s">
        <v>27</v>
      </c>
      <c r="B177" s="3" t="s">
        <v>22</v>
      </c>
      <c r="C177" s="4">
        <v>9.51</v>
      </c>
      <c r="D177" s="4">
        <v>10.6326</v>
      </c>
      <c r="E177" s="4">
        <v>10.972799999999999</v>
      </c>
      <c r="F177" s="4">
        <v>9.2627000000000006</v>
      </c>
      <c r="G177" s="4">
        <v>40.378100000000003</v>
      </c>
      <c r="H177" s="4">
        <v>0.23552371211126799</v>
      </c>
      <c r="I177" s="4">
        <v>0.49884962392980398</v>
      </c>
      <c r="J177" s="4">
        <v>0.27175127110983399</v>
      </c>
      <c r="K177" s="4">
        <v>0.229399104960362</v>
      </c>
      <c r="L177" s="4">
        <v>0.32575360752187799</v>
      </c>
      <c r="M177" s="4">
        <v>3.7581405882646503E-2</v>
      </c>
      <c r="N177" s="4">
        <v>0.2</v>
      </c>
      <c r="O177" s="4">
        <v>68.489000000000004</v>
      </c>
      <c r="P177" s="4">
        <v>119.93262110203599</v>
      </c>
      <c r="Q177" s="4">
        <v>0.49884962392980398</v>
      </c>
    </row>
    <row r="178" spans="1:17" x14ac:dyDescent="0.15">
      <c r="A178" t="s">
        <v>27</v>
      </c>
      <c r="B178" s="3" t="s">
        <v>22</v>
      </c>
      <c r="C178" s="4">
        <v>6.1647999999999996</v>
      </c>
      <c r="D178" s="4">
        <v>21.3032</v>
      </c>
      <c r="E178" s="4">
        <v>20.147500000000001</v>
      </c>
      <c r="F178" s="4">
        <v>14.682399999999999</v>
      </c>
      <c r="G178" s="4">
        <v>62.297899999999998</v>
      </c>
      <c r="H178" s="4">
        <v>9.8956786665361104E-2</v>
      </c>
      <c r="I178" s="4">
        <v>0.440913738665348</v>
      </c>
      <c r="J178" s="4">
        <v>0.32340576488132</v>
      </c>
      <c r="K178" s="4">
        <v>0.235680496453331</v>
      </c>
      <c r="L178" s="4">
        <v>0.39367818806687899</v>
      </c>
      <c r="M178" s="4">
        <v>3.8662970963373303E-2</v>
      </c>
      <c r="N178" s="4">
        <v>0.215</v>
      </c>
      <c r="O178" s="4">
        <v>89.468000000000004</v>
      </c>
      <c r="P178" s="4">
        <v>99.076986232984197</v>
      </c>
      <c r="Q178" s="4">
        <v>0.440913738665348</v>
      </c>
    </row>
    <row r="179" spans="1:17" x14ac:dyDescent="0.15">
      <c r="A179" t="s">
        <v>27</v>
      </c>
      <c r="B179" s="3" t="s">
        <v>22</v>
      </c>
      <c r="C179" s="4">
        <v>8.2170000000000005</v>
      </c>
      <c r="D179" s="4">
        <v>8.7422000000000004</v>
      </c>
      <c r="E179" s="4">
        <v>11.2323</v>
      </c>
      <c r="F179" s="4">
        <v>12.4345</v>
      </c>
      <c r="G179" s="4">
        <v>40.625999999999998</v>
      </c>
      <c r="H179" s="4">
        <v>0.202259636685866</v>
      </c>
      <c r="I179" s="4">
        <v>0.41744695515187302</v>
      </c>
      <c r="J179" s="4">
        <v>0.27648057893959499</v>
      </c>
      <c r="K179" s="4">
        <v>0.30607246590853099</v>
      </c>
      <c r="L179" s="4">
        <v>0.34335468488093601</v>
      </c>
      <c r="M179" s="4">
        <v>5.1283267074390598E-2</v>
      </c>
      <c r="N179" s="4">
        <v>0.17499999999999999</v>
      </c>
      <c r="O179" s="4">
        <v>98.400499999999994</v>
      </c>
      <c r="P179" s="4">
        <v>123.764233532261</v>
      </c>
      <c r="Q179" s="4">
        <v>0.41744695515187302</v>
      </c>
    </row>
    <row r="180" spans="1:17" x14ac:dyDescent="0.15">
      <c r="A180" t="s">
        <v>27</v>
      </c>
      <c r="B180" s="3" t="s">
        <v>22</v>
      </c>
      <c r="C180" s="4">
        <v>5.9271000000000003</v>
      </c>
      <c r="D180" s="4">
        <v>14.496600000000001</v>
      </c>
      <c r="E180" s="4">
        <v>21.630199999999999</v>
      </c>
      <c r="F180" s="4">
        <v>19.792300000000001</v>
      </c>
      <c r="G180" s="4">
        <v>61.846200000000003</v>
      </c>
      <c r="H180" s="4">
        <v>9.5836122510356295E-2</v>
      </c>
      <c r="I180" s="4">
        <v>0.33023370878081398</v>
      </c>
      <c r="J180" s="4">
        <v>0.349741778799667</v>
      </c>
      <c r="K180" s="4">
        <v>0.32002451241951801</v>
      </c>
      <c r="L180" s="4">
        <v>0.34803801812499702</v>
      </c>
      <c r="M180" s="4">
        <v>5.1409830891436602E-2</v>
      </c>
      <c r="N180" s="4">
        <v>0.19</v>
      </c>
      <c r="O180" s="4">
        <v>94.165000000000006</v>
      </c>
      <c r="P180" s="4">
        <v>136.45033278771501</v>
      </c>
      <c r="Q180" s="4">
        <v>0.33023370878081398</v>
      </c>
    </row>
    <row r="181" spans="1:17" x14ac:dyDescent="0.15">
      <c r="A181" t="s">
        <v>27</v>
      </c>
      <c r="B181" s="3" t="s">
        <v>22</v>
      </c>
      <c r="C181" s="4">
        <v>11.5999</v>
      </c>
      <c r="D181" s="4">
        <v>26.968299999999999</v>
      </c>
      <c r="E181" s="4">
        <v>43.498399999999997</v>
      </c>
      <c r="F181" s="4">
        <v>36.5899</v>
      </c>
      <c r="G181" s="4">
        <v>118.65649999999999</v>
      </c>
      <c r="H181" s="4">
        <v>9.7760341827038605E-2</v>
      </c>
      <c r="I181" s="4">
        <v>0.32504076894228301</v>
      </c>
      <c r="J181" s="4">
        <v>0.36659095793319402</v>
      </c>
      <c r="K181" s="4">
        <v>0.30836827312452297</v>
      </c>
      <c r="L181" s="4">
        <v>0.35883898963296401</v>
      </c>
      <c r="M181" s="4">
        <v>5.12433170014183E-2</v>
      </c>
      <c r="N181" s="4">
        <v>0.2</v>
      </c>
      <c r="O181" s="4">
        <v>81.274500000000003</v>
      </c>
      <c r="P181" s="4">
        <v>118.90243726997799</v>
      </c>
      <c r="Q181" s="4">
        <v>0.32504076894228301</v>
      </c>
    </row>
    <row r="182" spans="1:17" x14ac:dyDescent="0.15">
      <c r="A182" t="s">
        <v>27</v>
      </c>
      <c r="B182" s="3" t="s">
        <v>22</v>
      </c>
      <c r="C182" s="4">
        <v>9.6463999999999999</v>
      </c>
      <c r="D182" s="4">
        <v>17.603400000000001</v>
      </c>
      <c r="E182" s="4">
        <v>29.9145</v>
      </c>
      <c r="F182" s="4">
        <v>23.773099999999999</v>
      </c>
      <c r="G182" s="4">
        <v>80.937399999999997</v>
      </c>
      <c r="H182" s="4">
        <v>0.119183467717026</v>
      </c>
      <c r="I182" s="4">
        <v>0.33667748160924399</v>
      </c>
      <c r="J182" s="4">
        <v>0.36960045664921298</v>
      </c>
      <c r="K182" s="4">
        <v>0.29372206174154297</v>
      </c>
      <c r="L182" s="4">
        <v>0.34004108257457799</v>
      </c>
      <c r="M182" s="4">
        <v>6.30604490135631E-2</v>
      </c>
      <c r="N182" s="4">
        <v>0.21</v>
      </c>
      <c r="O182" s="4">
        <v>184.9265</v>
      </c>
      <c r="P182" s="4">
        <v>127.873051709941</v>
      </c>
      <c r="Q182" s="4">
        <v>0.33667748160924399</v>
      </c>
    </row>
    <row r="183" spans="1:17" x14ac:dyDescent="0.15">
      <c r="A183" t="s">
        <v>27</v>
      </c>
      <c r="B183" s="3" t="s">
        <v>22</v>
      </c>
      <c r="C183" s="4">
        <v>10.5738</v>
      </c>
      <c r="D183" s="4">
        <v>22.791399999999999</v>
      </c>
      <c r="E183" s="4">
        <v>28.649100000000001</v>
      </c>
      <c r="F183" s="4">
        <v>27.620699999999999</v>
      </c>
      <c r="G183" s="4">
        <v>89.635000000000005</v>
      </c>
      <c r="H183" s="4">
        <v>0.117965080604675</v>
      </c>
      <c r="I183" s="4">
        <v>0.37223406035588802</v>
      </c>
      <c r="J183" s="4">
        <v>0.31961956824901</v>
      </c>
      <c r="K183" s="4">
        <v>0.30814637139510198</v>
      </c>
      <c r="L183" s="4">
        <v>0.39296015878345503</v>
      </c>
      <c r="M183" s="4">
        <v>4.98354838574427E-2</v>
      </c>
      <c r="N183" s="4">
        <v>0.23499999999999999</v>
      </c>
      <c r="O183" s="4">
        <v>159.03450000000001</v>
      </c>
      <c r="P183" s="4">
        <v>92.736939808715505</v>
      </c>
      <c r="Q183" s="4">
        <v>0.37223406035588802</v>
      </c>
    </row>
    <row r="184" spans="1:17" x14ac:dyDescent="0.15">
      <c r="A184" t="s">
        <v>27</v>
      </c>
      <c r="B184" s="3" t="s">
        <v>23</v>
      </c>
      <c r="C184" s="4">
        <v>5.8602999999999996</v>
      </c>
      <c r="D184" s="4">
        <v>9.6829000000000001</v>
      </c>
      <c r="E184" s="4">
        <v>13.0306</v>
      </c>
      <c r="F184" s="4">
        <v>10.6721</v>
      </c>
      <c r="G184" s="4">
        <v>39.245899999999999</v>
      </c>
      <c r="H184" s="4">
        <v>0.14932260439944001</v>
      </c>
      <c r="I184" s="4">
        <v>0.39604646600026999</v>
      </c>
      <c r="J184" s="4">
        <v>0.33202449173034598</v>
      </c>
      <c r="K184" s="4">
        <v>0.27192904226938402</v>
      </c>
      <c r="L184" s="4">
        <v>0.43382491570299198</v>
      </c>
      <c r="M184" s="4">
        <v>4.1014894088634603E-2</v>
      </c>
      <c r="N184" s="4">
        <v>0.22500000000000001</v>
      </c>
      <c r="O184" s="4">
        <v>71.299000000000007</v>
      </c>
      <c r="P184" s="4">
        <v>95.070320666086602</v>
      </c>
      <c r="Q184" s="4">
        <v>0.39604646600026999</v>
      </c>
    </row>
    <row r="185" spans="1:17" x14ac:dyDescent="0.15">
      <c r="A185" t="s">
        <v>27</v>
      </c>
      <c r="B185" s="3" t="s">
        <v>23</v>
      </c>
      <c r="C185" s="4">
        <v>6.7629000000000001</v>
      </c>
      <c r="D185" s="4">
        <v>17.5992</v>
      </c>
      <c r="E185" s="4">
        <v>25.356200000000001</v>
      </c>
      <c r="F185" s="4">
        <v>15.572800000000001</v>
      </c>
      <c r="G185" s="4">
        <v>65.2911</v>
      </c>
      <c r="H185" s="4">
        <v>0.103580733055501</v>
      </c>
      <c r="I185" s="4">
        <v>0.37313048792254999</v>
      </c>
      <c r="J185" s="4">
        <v>0.38835614654983602</v>
      </c>
      <c r="K185" s="4">
        <v>0.23851336552761401</v>
      </c>
      <c r="L185" s="4">
        <v>0.34791345507055998</v>
      </c>
      <c r="M185" s="4">
        <v>4.5562549068063597E-2</v>
      </c>
      <c r="N185" s="4">
        <v>0.21</v>
      </c>
      <c r="O185" s="4">
        <v>73.623999999999995</v>
      </c>
      <c r="P185" s="4">
        <v>119.233838300827</v>
      </c>
      <c r="Q185" s="4">
        <v>0.37313048792254999</v>
      </c>
    </row>
    <row r="186" spans="1:17" x14ac:dyDescent="0.15">
      <c r="A186" t="s">
        <v>27</v>
      </c>
      <c r="B186" s="3" t="s">
        <v>23</v>
      </c>
      <c r="C186" s="4">
        <v>11.174569999999999</v>
      </c>
      <c r="D186" s="4">
        <v>21.559799999999999</v>
      </c>
      <c r="E186" s="4">
        <v>35.723399999999998</v>
      </c>
      <c r="F186" s="4">
        <v>23.146000000000001</v>
      </c>
      <c r="G186" s="4">
        <v>91.603769999999997</v>
      </c>
      <c r="H186" s="4">
        <v>0.12198810158140901</v>
      </c>
      <c r="I186" s="4">
        <v>0.357347410483215</v>
      </c>
      <c r="J186" s="4">
        <v>0.38997739940179299</v>
      </c>
      <c r="K186" s="4">
        <v>0.25267519011499201</v>
      </c>
      <c r="L186" s="4">
        <v>0.38258855961247901</v>
      </c>
      <c r="M186" s="4">
        <v>5.0404185619214198E-2</v>
      </c>
      <c r="N186" s="4">
        <v>0.2</v>
      </c>
      <c r="O186" s="4">
        <v>62.833500000000001</v>
      </c>
      <c r="P186" s="4">
        <v>124.324738053042</v>
      </c>
      <c r="Q186" s="4">
        <v>0.357347410483215</v>
      </c>
    </row>
    <row r="187" spans="1:17" x14ac:dyDescent="0.15">
      <c r="A187" t="s">
        <v>27</v>
      </c>
      <c r="B187" s="3" t="s">
        <v>23</v>
      </c>
      <c r="C187" s="4">
        <v>8.7423999999999999</v>
      </c>
      <c r="D187" s="4">
        <v>20.6995</v>
      </c>
      <c r="E187" s="4">
        <v>27.067900000000002</v>
      </c>
      <c r="F187" s="4">
        <v>19.984300000000001</v>
      </c>
      <c r="G187" s="4">
        <v>76.494100000000003</v>
      </c>
      <c r="H187" s="4">
        <v>0.114288552973367</v>
      </c>
      <c r="I187" s="4">
        <v>0.38489112232185202</v>
      </c>
      <c r="J187" s="4">
        <v>0.353856049028618</v>
      </c>
      <c r="K187" s="4">
        <v>0.26125282864952998</v>
      </c>
      <c r="L187" s="4">
        <v>0.35008495084623698</v>
      </c>
      <c r="M187" s="4">
        <v>4.6064362255719297E-2</v>
      </c>
      <c r="N187" s="4">
        <v>0.22500000000000001</v>
      </c>
      <c r="O187" s="4">
        <v>167.30850000000001</v>
      </c>
      <c r="P187" s="4">
        <v>114.51081109759799</v>
      </c>
      <c r="Q187" s="4">
        <v>0.38489112232185202</v>
      </c>
    </row>
    <row r="188" spans="1:17" x14ac:dyDescent="0.15">
      <c r="A188" t="s">
        <v>27</v>
      </c>
      <c r="B188" s="3" t="s">
        <v>23</v>
      </c>
      <c r="C188" s="4">
        <v>10.519600000000001</v>
      </c>
      <c r="D188" s="4">
        <v>16.507300000000001</v>
      </c>
      <c r="E188" s="4">
        <v>26.822500000000002</v>
      </c>
      <c r="F188" s="4">
        <v>19.677199999999999</v>
      </c>
      <c r="G188" s="4">
        <v>73.526600000000002</v>
      </c>
      <c r="H188" s="4">
        <v>0.143072031074468</v>
      </c>
      <c r="I188" s="4">
        <v>0.36757989625523302</v>
      </c>
      <c r="J188" s="4">
        <v>0.36479994995008602</v>
      </c>
      <c r="K188" s="4">
        <v>0.26762015379468101</v>
      </c>
      <c r="L188" s="4">
        <v>0.414142725124171</v>
      </c>
      <c r="M188" s="4">
        <v>4.0876386279442498E-2</v>
      </c>
      <c r="N188" s="4">
        <v>0.28000000000000003</v>
      </c>
      <c r="O188" s="4">
        <v>59.856000000000002</v>
      </c>
      <c r="P188" s="4">
        <v>95.760443133346996</v>
      </c>
      <c r="Q188" s="4">
        <v>0.36757989625523302</v>
      </c>
    </row>
    <row r="189" spans="1:17" x14ac:dyDescent="0.15">
      <c r="A189" t="s">
        <v>27</v>
      </c>
      <c r="B189" s="3" t="s">
        <v>23</v>
      </c>
      <c r="C189" s="4">
        <v>7.7157</v>
      </c>
      <c r="D189" s="4">
        <v>15.5444</v>
      </c>
      <c r="E189" s="4">
        <v>24.888400000000001</v>
      </c>
      <c r="F189" s="4">
        <v>17.075900000000001</v>
      </c>
      <c r="G189" s="4">
        <v>65.224400000000003</v>
      </c>
      <c r="H189" s="4">
        <v>0.118294687264275</v>
      </c>
      <c r="I189" s="4">
        <v>0.35661654227558998</v>
      </c>
      <c r="J189" s="4">
        <v>0.38158112608165001</v>
      </c>
      <c r="K189" s="4">
        <v>0.26180233164275901</v>
      </c>
      <c r="L189" s="4">
        <v>0.39042646605029502</v>
      </c>
      <c r="M189" s="4">
        <v>4.2110496975224301E-2</v>
      </c>
      <c r="N189" s="4">
        <v>0.215</v>
      </c>
      <c r="O189" s="4">
        <v>73.994</v>
      </c>
      <c r="P189" s="4">
        <v>114.851350632324</v>
      </c>
      <c r="Q189" s="4">
        <v>0.35661654227558998</v>
      </c>
    </row>
    <row r="190" spans="1:17" x14ac:dyDescent="0.15">
      <c r="A190" t="s">
        <v>27</v>
      </c>
      <c r="B190" s="3" t="s">
        <v>23</v>
      </c>
      <c r="C190" s="4">
        <v>5.9718999999999998</v>
      </c>
      <c r="D190" s="4">
        <v>7.5339</v>
      </c>
      <c r="E190" s="4">
        <v>13.5467</v>
      </c>
      <c r="F190" s="4">
        <v>8.5509000000000004</v>
      </c>
      <c r="G190" s="4">
        <v>35.603400000000001</v>
      </c>
      <c r="H190" s="4">
        <v>0.16773398046254001</v>
      </c>
      <c r="I190" s="4">
        <v>0.37934017537650899</v>
      </c>
      <c r="J190" s="4">
        <v>0.38048894206733103</v>
      </c>
      <c r="K190" s="4">
        <v>0.24017088255616001</v>
      </c>
      <c r="L190" s="4">
        <v>0.31417843068698098</v>
      </c>
      <c r="M190" s="4">
        <v>4.7267062502262903E-2</v>
      </c>
      <c r="N190" s="4">
        <v>0.255</v>
      </c>
      <c r="O190" s="4">
        <v>177.3135</v>
      </c>
      <c r="P190" s="4">
        <v>142.268306310165</v>
      </c>
      <c r="Q190" s="4">
        <v>0.37934017537650899</v>
      </c>
    </row>
    <row r="191" spans="1:17" x14ac:dyDescent="0.15">
      <c r="A191" t="s">
        <v>27</v>
      </c>
      <c r="B191" s="3" t="s">
        <v>24</v>
      </c>
      <c r="C191" s="4">
        <v>0.68859999999999999</v>
      </c>
      <c r="D191" s="4">
        <v>1.2056</v>
      </c>
      <c r="E191" s="4">
        <v>0.40649999999999997</v>
      </c>
      <c r="F191" s="4">
        <v>0.32119999999999999</v>
      </c>
      <c r="G191" s="4">
        <v>2.6219000000000001</v>
      </c>
      <c r="H191" s="4">
        <v>0.26263396773332298</v>
      </c>
      <c r="I191" s="4">
        <v>0.45981921507303902</v>
      </c>
      <c r="J191" s="4">
        <v>0.155040237995347</v>
      </c>
      <c r="K191" s="4">
        <v>0.122506579198291</v>
      </c>
      <c r="L191" s="4">
        <v>0.39146780812342802</v>
      </c>
      <c r="M191" s="4">
        <v>2.0266848123174801E-2</v>
      </c>
      <c r="N191" s="4">
        <v>0.26500000000000001</v>
      </c>
      <c r="O191" s="4">
        <v>19.7195</v>
      </c>
      <c r="P191" s="4">
        <v>180.32931776551601</v>
      </c>
      <c r="Q191" s="4">
        <v>0.72245318280636195</v>
      </c>
    </row>
    <row r="192" spans="1:17" x14ac:dyDescent="0.15">
      <c r="A192" t="s">
        <v>27</v>
      </c>
      <c r="B192" s="3" t="s">
        <v>24</v>
      </c>
      <c r="C192" s="4">
        <v>0.74460000000000004</v>
      </c>
      <c r="D192" s="4">
        <v>2.6998000000000002</v>
      </c>
      <c r="E192" s="4">
        <v>2.4676999999999998</v>
      </c>
      <c r="F192" s="4">
        <v>2.4274</v>
      </c>
      <c r="G192" s="4">
        <v>8.3394999999999992</v>
      </c>
      <c r="H192" s="4">
        <v>8.9285928412974405E-2</v>
      </c>
      <c r="I192" s="4">
        <v>0.32373643503807198</v>
      </c>
      <c r="J192" s="4">
        <v>0.29590503027759502</v>
      </c>
      <c r="K192" s="4">
        <v>0.291072606271359</v>
      </c>
      <c r="L192" s="4">
        <v>0.46671679673838101</v>
      </c>
      <c r="M192" s="4">
        <v>2.4752900301095299E-2</v>
      </c>
      <c r="N192" s="4">
        <v>0.2</v>
      </c>
      <c r="O192" s="4">
        <v>35.5015</v>
      </c>
      <c r="P192" s="4">
        <v>102.641970285258</v>
      </c>
      <c r="Q192" s="4">
        <v>0.41302236345104598</v>
      </c>
    </row>
    <row r="193" spans="1:18" x14ac:dyDescent="0.15">
      <c r="A193" t="s">
        <v>27</v>
      </c>
      <c r="B193" s="3" t="s">
        <v>24</v>
      </c>
      <c r="C193" s="4">
        <v>0.22700000000000001</v>
      </c>
      <c r="D193" s="4">
        <v>0.52629999999999999</v>
      </c>
      <c r="E193" s="4">
        <v>0.36170000000000002</v>
      </c>
      <c r="F193" s="4">
        <v>0.55010000000000003</v>
      </c>
      <c r="G193" s="4">
        <v>1.6651</v>
      </c>
      <c r="H193" s="4">
        <v>0.13632814845955199</v>
      </c>
      <c r="I193" s="4">
        <v>0.316077112485737</v>
      </c>
      <c r="J193" s="4">
        <v>0.217224190739295</v>
      </c>
      <c r="K193" s="4">
        <v>0.33037054831541601</v>
      </c>
      <c r="L193" s="4">
        <v>0.37673677533678301</v>
      </c>
      <c r="M193" s="4">
        <v>1.83092140594848E-2</v>
      </c>
      <c r="N193" s="4">
        <v>0.21</v>
      </c>
      <c r="O193" s="4">
        <v>27.145</v>
      </c>
      <c r="P193" s="4">
        <v>172.71509778879599</v>
      </c>
      <c r="Q193" s="4">
        <v>0.45240526094528899</v>
      </c>
    </row>
    <row r="194" spans="1:18" x14ac:dyDescent="0.15">
      <c r="A194" t="s">
        <v>27</v>
      </c>
      <c r="B194" s="3" t="s">
        <v>24</v>
      </c>
      <c r="C194" s="4">
        <v>0.56210000000000004</v>
      </c>
      <c r="D194" s="4">
        <v>2.8112499999999998</v>
      </c>
      <c r="E194" s="4">
        <v>2.3740000000000001</v>
      </c>
      <c r="F194" s="4">
        <v>1.6752</v>
      </c>
      <c r="G194" s="4">
        <v>7.4225500000000002</v>
      </c>
      <c r="H194" s="4">
        <v>7.5728691622151401E-2</v>
      </c>
      <c r="I194" s="4">
        <v>0.37874450155270101</v>
      </c>
      <c r="J194" s="4">
        <v>0.31983617489946198</v>
      </c>
      <c r="K194" s="4">
        <v>0.225690631925686</v>
      </c>
      <c r="L194" s="4">
        <v>0.39685126497229101</v>
      </c>
      <c r="M194" s="4">
        <v>2.2598086272001799E-2</v>
      </c>
      <c r="N194" s="4">
        <v>0.3</v>
      </c>
      <c r="O194" s="4">
        <v>41.698500000000003</v>
      </c>
      <c r="P194" s="4">
        <v>198.39027661415699</v>
      </c>
      <c r="Q194" s="4">
        <v>0.45447319317485202</v>
      </c>
    </row>
    <row r="195" spans="1:18" x14ac:dyDescent="0.15">
      <c r="A195" t="s">
        <v>27</v>
      </c>
      <c r="B195" s="3" t="s">
        <v>24</v>
      </c>
      <c r="C195" s="4">
        <v>1.3237000000000001</v>
      </c>
      <c r="D195" s="4">
        <v>1.3431</v>
      </c>
      <c r="E195" s="4">
        <v>1.2067000000000001</v>
      </c>
      <c r="F195" s="4">
        <v>1.2670999999999999</v>
      </c>
      <c r="G195" s="4">
        <v>5.1406000000000001</v>
      </c>
      <c r="H195" s="4">
        <v>0.25749912461580399</v>
      </c>
      <c r="I195" s="4">
        <v>0.26127300315138302</v>
      </c>
      <c r="J195" s="4">
        <v>0.23473913550947401</v>
      </c>
      <c r="K195" s="4">
        <v>0.24648873672334001</v>
      </c>
      <c r="L195" s="4">
        <v>0.41896965274053699</v>
      </c>
      <c r="M195" s="4">
        <v>2.3340305893224899E-2</v>
      </c>
      <c r="N195" s="4">
        <v>0.23</v>
      </c>
      <c r="O195" s="4">
        <v>47.347999999999999</v>
      </c>
      <c r="P195" s="4">
        <v>143.021303652212</v>
      </c>
      <c r="Q195" s="4">
        <v>0.51877212776718695</v>
      </c>
    </row>
    <row r="196" spans="1:18" x14ac:dyDescent="0.15">
      <c r="A196" t="s">
        <v>27</v>
      </c>
      <c r="B196" s="3" t="s">
        <v>24</v>
      </c>
      <c r="C196" s="4">
        <v>0.94010000000000005</v>
      </c>
      <c r="D196" s="4">
        <v>2.8060999999999998</v>
      </c>
      <c r="E196" s="4">
        <v>3.7987000000000002</v>
      </c>
      <c r="F196" s="4">
        <v>4.7295999999999996</v>
      </c>
      <c r="G196" s="4">
        <v>12.2745</v>
      </c>
      <c r="H196" s="4">
        <v>7.6589677787282595E-2</v>
      </c>
      <c r="I196" s="4">
        <v>0.228612163428245</v>
      </c>
      <c r="J196" s="4">
        <v>0.309479001181311</v>
      </c>
      <c r="K196" s="4">
        <v>0.38531915760316099</v>
      </c>
      <c r="L196" s="4">
        <v>0.58224386262769701</v>
      </c>
      <c r="M196" s="4">
        <v>4.1547805024360597E-2</v>
      </c>
      <c r="N196" s="4">
        <v>0.22</v>
      </c>
      <c r="O196" s="4">
        <v>126.473</v>
      </c>
      <c r="P196" s="4">
        <v>116.307712336506</v>
      </c>
      <c r="Q196" s="4">
        <v>0.30520184121552801</v>
      </c>
    </row>
    <row r="197" spans="1:18" x14ac:dyDescent="0.15">
      <c r="A197" t="s">
        <v>27</v>
      </c>
      <c r="B197" s="3" t="s">
        <v>24</v>
      </c>
      <c r="C197" s="4">
        <v>0.55510000000000004</v>
      </c>
      <c r="D197" s="4">
        <v>1.4730000000000001</v>
      </c>
      <c r="E197" s="4">
        <v>1.4483999999999999</v>
      </c>
      <c r="F197" s="4">
        <v>1.7075</v>
      </c>
      <c r="G197" s="4">
        <v>5.1840000000000002</v>
      </c>
      <c r="H197" s="4">
        <v>0.10707947530864199</v>
      </c>
      <c r="I197" s="4">
        <v>0.28414351851851899</v>
      </c>
      <c r="J197" s="4">
        <v>0.27939814814814801</v>
      </c>
      <c r="K197" s="4">
        <v>0.32937885802469102</v>
      </c>
      <c r="L197" s="4">
        <v>0.37396810514332701</v>
      </c>
      <c r="M197" s="4">
        <v>2.4712112274811501E-2</v>
      </c>
      <c r="N197" s="4">
        <v>0.27</v>
      </c>
      <c r="O197" s="4">
        <v>37.746000000000002</v>
      </c>
      <c r="P197" s="4">
        <v>157.765363957418</v>
      </c>
      <c r="Q197" s="4">
        <v>0.39122299382716103</v>
      </c>
    </row>
    <row r="200" spans="1:18" x14ac:dyDescent="0.15">
      <c r="L200" s="3"/>
      <c r="M200" s="3"/>
      <c r="N200" s="3"/>
      <c r="O200" s="3"/>
      <c r="P200" s="3"/>
      <c r="Q200" s="3"/>
      <c r="R200" s="3"/>
    </row>
    <row r="201" spans="1:18" x14ac:dyDescent="0.15">
      <c r="L201" s="3"/>
      <c r="M201" s="3"/>
      <c r="N201" s="3"/>
      <c r="O201" s="3"/>
      <c r="P201" s="3"/>
      <c r="Q201" s="3"/>
      <c r="R201" s="3"/>
    </row>
    <row r="202" spans="1:18" x14ac:dyDescent="0.15">
      <c r="L202" s="3"/>
      <c r="M202" s="3"/>
      <c r="N202" s="3"/>
      <c r="O202" s="3"/>
      <c r="P202" s="3"/>
      <c r="Q202" s="3"/>
      <c r="R202" s="3"/>
    </row>
    <row r="203" spans="1:18" x14ac:dyDescent="0.15">
      <c r="L203" s="3"/>
      <c r="M203" s="3"/>
      <c r="N203" s="3"/>
      <c r="O203" s="3"/>
      <c r="P203" s="3"/>
      <c r="Q203" s="3"/>
      <c r="R203" s="3"/>
    </row>
    <row r="204" spans="1:18" x14ac:dyDescent="0.15">
      <c r="L204" s="3"/>
      <c r="M204" s="3"/>
      <c r="N204" s="3"/>
      <c r="O204" s="3"/>
      <c r="P204" s="3"/>
      <c r="Q204" s="3"/>
      <c r="R204" s="3"/>
    </row>
    <row r="205" spans="1:18" x14ac:dyDescent="0.15">
      <c r="L205" s="3"/>
      <c r="M205" s="3"/>
      <c r="N205" s="3"/>
      <c r="O205" s="3"/>
      <c r="P205" s="3"/>
      <c r="Q205" s="3"/>
      <c r="R205" s="3"/>
    </row>
    <row r="206" spans="1:18" x14ac:dyDescent="0.15">
      <c r="L206" s="3"/>
      <c r="M206" s="3"/>
      <c r="N206" s="3"/>
      <c r="O206" s="3"/>
      <c r="P206" s="3"/>
      <c r="Q206" s="3"/>
      <c r="R206" s="3"/>
    </row>
  </sheetData>
  <pageMargins left="0.51180555555555596" right="0.51180555555555596" top="0.78749999999999998" bottom="0.78749999999999998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73"/>
  <sheetViews>
    <sheetView zoomScaleNormal="100" workbookViewId="0">
      <selection activeCell="M6" sqref="M6:M8"/>
    </sheetView>
  </sheetViews>
  <sheetFormatPr defaultColWidth="11.59375" defaultRowHeight="12.75" x14ac:dyDescent="0.15"/>
  <cols>
    <col min="43" max="46" width="11.59375" hidden="1"/>
    <col min="47" max="47" width="27.64453125" customWidth="1"/>
  </cols>
  <sheetData>
    <row r="1" spans="1:4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0</v>
      </c>
      <c r="J1" t="s">
        <v>1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2</v>
      </c>
      <c r="R1" t="s">
        <v>3</v>
      </c>
      <c r="S1" t="s">
        <v>4</v>
      </c>
      <c r="T1" t="s">
        <v>5</v>
      </c>
      <c r="AF1" t="s">
        <v>0</v>
      </c>
      <c r="AG1" t="s">
        <v>27</v>
      </c>
      <c r="AH1" t="s">
        <v>27</v>
      </c>
      <c r="AI1" t="s">
        <v>27</v>
      </c>
      <c r="AJ1" t="s">
        <v>27</v>
      </c>
      <c r="AK1" t="s">
        <v>27</v>
      </c>
      <c r="AL1" t="s">
        <v>27</v>
      </c>
      <c r="AM1" t="s">
        <v>27</v>
      </c>
      <c r="AN1" t="s">
        <v>0</v>
      </c>
      <c r="AO1" t="s">
        <v>1</v>
      </c>
      <c r="AP1" t="s">
        <v>2</v>
      </c>
      <c r="AQ1" t="s">
        <v>3</v>
      </c>
      <c r="AR1" t="s">
        <v>4</v>
      </c>
      <c r="AS1" t="s">
        <v>5</v>
      </c>
      <c r="AT1" t="s">
        <v>6</v>
      </c>
    </row>
    <row r="2" spans="1:47" x14ac:dyDescent="0.15">
      <c r="A2" t="s">
        <v>17</v>
      </c>
      <c r="B2" t="s">
        <v>24</v>
      </c>
      <c r="C2">
        <v>0.38269999999999998</v>
      </c>
      <c r="D2">
        <v>8.5126285714285697</v>
      </c>
      <c r="E2">
        <v>2.98731428571429</v>
      </c>
      <c r="F2">
        <v>5.2107428571428596</v>
      </c>
      <c r="G2">
        <v>17.093385714285699</v>
      </c>
      <c r="I2" t="s">
        <v>17</v>
      </c>
      <c r="J2" t="s">
        <v>24</v>
      </c>
      <c r="K2" t="s">
        <v>17</v>
      </c>
      <c r="L2" t="s">
        <v>24</v>
      </c>
      <c r="M2" s="7">
        <v>2.2388776945468498</v>
      </c>
      <c r="N2" s="7">
        <v>49.800716567895499</v>
      </c>
      <c r="O2" s="7">
        <v>17.476434076004299</v>
      </c>
      <c r="P2" s="7">
        <v>30.483971661553301</v>
      </c>
      <c r="Q2" s="8">
        <f>M2</f>
        <v>2.2388776945468498</v>
      </c>
      <c r="R2" s="8">
        <f>N2</f>
        <v>49.800716567895499</v>
      </c>
      <c r="S2" s="8">
        <f>O2</f>
        <v>17.476434076004299</v>
      </c>
      <c r="T2" s="8">
        <f>P2</f>
        <v>30.483971661553301</v>
      </c>
      <c r="AF2" t="s">
        <v>1</v>
      </c>
      <c r="AG2" t="s">
        <v>22</v>
      </c>
      <c r="AH2" t="s">
        <v>21</v>
      </c>
      <c r="AI2" t="s">
        <v>23</v>
      </c>
      <c r="AJ2" t="s">
        <v>19</v>
      </c>
      <c r="AK2" t="s">
        <v>18</v>
      </c>
      <c r="AL2" t="s">
        <v>20</v>
      </c>
      <c r="AM2" t="s">
        <v>24</v>
      </c>
      <c r="AN2" t="s">
        <v>17</v>
      </c>
      <c r="AO2" t="s">
        <v>24</v>
      </c>
      <c r="AP2">
        <v>0.38269999999999998</v>
      </c>
      <c r="AQ2">
        <v>8.5126285714285697</v>
      </c>
      <c r="AR2">
        <v>2.98731428571429</v>
      </c>
      <c r="AS2">
        <v>5.2107428571428596</v>
      </c>
      <c r="AT2">
        <v>17.093385714285699</v>
      </c>
      <c r="AU2" s="8">
        <f>AT2</f>
        <v>17.093385714285699</v>
      </c>
    </row>
    <row r="3" spans="1:47" x14ac:dyDescent="0.15">
      <c r="A3" t="s">
        <v>17</v>
      </c>
      <c r="B3" t="s">
        <v>22</v>
      </c>
      <c r="C3">
        <v>4.27408571428571</v>
      </c>
      <c r="D3">
        <v>21.724471428571398</v>
      </c>
      <c r="E3">
        <v>8.2515857142857101</v>
      </c>
      <c r="F3">
        <v>11.424799999999999</v>
      </c>
      <c r="G3">
        <v>45.674942857142902</v>
      </c>
      <c r="I3" t="s">
        <v>17</v>
      </c>
      <c r="J3" t="s">
        <v>22</v>
      </c>
      <c r="K3" t="s">
        <v>17</v>
      </c>
      <c r="L3" t="s">
        <v>22</v>
      </c>
      <c r="M3" s="7">
        <v>9.3576158981823703</v>
      </c>
      <c r="N3" s="7">
        <v>47.563215342203897</v>
      </c>
      <c r="O3" s="7">
        <v>18.0658917080512</v>
      </c>
      <c r="P3" s="7">
        <v>25.0132770515625</v>
      </c>
      <c r="Q3" s="88">
        <f>AVERAGE(M3:M5)</f>
        <v>9.2090010609370339</v>
      </c>
      <c r="R3" s="88">
        <f>AVERAGE(N3:N5)</f>
        <v>52.927493687589795</v>
      </c>
      <c r="S3" s="88">
        <f>AVERAGE(O3:O5)</f>
        <v>14.935073818158132</v>
      </c>
      <c r="T3" s="88">
        <f>AVERAGE(P3:P5)</f>
        <v>22.92843143331503</v>
      </c>
      <c r="AF3" t="s">
        <v>2</v>
      </c>
      <c r="AG3" s="7">
        <v>12.4680127781</v>
      </c>
      <c r="AH3" s="7">
        <v>21.268492476182701</v>
      </c>
      <c r="AI3" s="7">
        <v>12.695465821808201</v>
      </c>
      <c r="AJ3" s="7">
        <v>16.104623111119999</v>
      </c>
      <c r="AK3" s="7">
        <v>17.3051406469555</v>
      </c>
      <c r="AL3" s="7">
        <v>11.7663337149316</v>
      </c>
      <c r="AM3" s="7">
        <v>11.8204423873017</v>
      </c>
      <c r="AN3" t="s">
        <v>17</v>
      </c>
      <c r="AO3" t="s">
        <v>22</v>
      </c>
      <c r="AP3">
        <v>4.27408571428571</v>
      </c>
      <c r="AQ3">
        <v>21.724471428571398</v>
      </c>
      <c r="AR3">
        <v>8.2515857142857101</v>
      </c>
      <c r="AS3">
        <v>11.424799999999999</v>
      </c>
      <c r="AT3">
        <v>45.674942857142902</v>
      </c>
      <c r="AU3" s="88">
        <f>AVERAGE(AT3:AT5)</f>
        <v>37.397328571428567</v>
      </c>
    </row>
    <row r="4" spans="1:47" x14ac:dyDescent="0.15">
      <c r="A4" t="s">
        <v>17</v>
      </c>
      <c r="B4" t="s">
        <v>21</v>
      </c>
      <c r="C4">
        <v>1.359</v>
      </c>
      <c r="D4">
        <v>15.525185714285699</v>
      </c>
      <c r="E4">
        <v>3.0118</v>
      </c>
      <c r="F4">
        <v>5.4772714285714299</v>
      </c>
      <c r="G4">
        <v>25.373257142857099</v>
      </c>
      <c r="I4" t="s">
        <v>17</v>
      </c>
      <c r="J4" t="s">
        <v>21</v>
      </c>
      <c r="K4" t="s">
        <v>17</v>
      </c>
      <c r="L4" t="s">
        <v>21</v>
      </c>
      <c r="M4" s="7">
        <v>5.35603289852983</v>
      </c>
      <c r="N4" s="7">
        <v>61.1872004720381</v>
      </c>
      <c r="O4" s="7">
        <v>11.869977839435</v>
      </c>
      <c r="P4" s="7">
        <v>21.586788789997101</v>
      </c>
      <c r="Q4" s="88"/>
      <c r="R4" s="88"/>
      <c r="S4" s="88"/>
      <c r="T4" s="88"/>
      <c r="AF4" t="s">
        <v>3</v>
      </c>
      <c r="AG4" s="7">
        <v>24.786281565226201</v>
      </c>
      <c r="AH4" s="7">
        <v>24.430516850000402</v>
      </c>
      <c r="AI4" s="7">
        <v>24.4137851452228</v>
      </c>
      <c r="AJ4" s="7">
        <v>14.411657941737399</v>
      </c>
      <c r="AK4" s="7">
        <v>15.038313112929499</v>
      </c>
      <c r="AL4" s="7">
        <v>11.915428899899901</v>
      </c>
      <c r="AM4" s="7">
        <v>30.1657867926276</v>
      </c>
      <c r="AN4" t="s">
        <v>17</v>
      </c>
      <c r="AO4" t="s">
        <v>21</v>
      </c>
      <c r="AP4">
        <v>1.359</v>
      </c>
      <c r="AQ4">
        <v>15.525185714285699</v>
      </c>
      <c r="AR4">
        <v>3.0118</v>
      </c>
      <c r="AS4">
        <v>5.4772714285714299</v>
      </c>
      <c r="AT4">
        <v>25.373257142857099</v>
      </c>
      <c r="AU4" s="88"/>
    </row>
    <row r="5" spans="1:47" x14ac:dyDescent="0.15">
      <c r="A5" t="s">
        <v>17</v>
      </c>
      <c r="B5" t="s">
        <v>23</v>
      </c>
      <c r="C5">
        <v>5.3130428571428601</v>
      </c>
      <c r="D5">
        <v>20.5850857142857</v>
      </c>
      <c r="E5">
        <v>6.1178142857142896</v>
      </c>
      <c r="F5">
        <v>9.1278428571428591</v>
      </c>
      <c r="G5">
        <v>41.143785714285698</v>
      </c>
      <c r="I5" t="s">
        <v>17</v>
      </c>
      <c r="J5" t="s">
        <v>23</v>
      </c>
      <c r="K5" t="s">
        <v>17</v>
      </c>
      <c r="L5" t="s">
        <v>23</v>
      </c>
      <c r="M5" s="7">
        <v>12.9133543860989</v>
      </c>
      <c r="N5" s="7">
        <v>50.032065248527402</v>
      </c>
      <c r="O5" s="7">
        <v>14.8693519069882</v>
      </c>
      <c r="P5" s="7">
        <v>22.185228458385499</v>
      </c>
      <c r="Q5" s="88"/>
      <c r="R5" s="88"/>
      <c r="S5" s="88"/>
      <c r="T5" s="88"/>
      <c r="AF5" t="s">
        <v>4</v>
      </c>
      <c r="AG5" s="7">
        <v>33.586668961810702</v>
      </c>
      <c r="AH5" s="7">
        <v>27.273439402191102</v>
      </c>
      <c r="AI5" s="7">
        <v>37.234831162725698</v>
      </c>
      <c r="AJ5" s="7">
        <v>32.355169645031303</v>
      </c>
      <c r="AK5" s="7">
        <v>32.826640102129403</v>
      </c>
      <c r="AL5" s="7">
        <v>38.522826467963696</v>
      </c>
      <c r="AM5" s="7">
        <v>28.286572805619901</v>
      </c>
      <c r="AN5" t="s">
        <v>17</v>
      </c>
      <c r="AO5" t="s">
        <v>23</v>
      </c>
      <c r="AP5">
        <v>5.3130428571428601</v>
      </c>
      <c r="AQ5">
        <v>20.5850857142857</v>
      </c>
      <c r="AR5">
        <v>6.1178142857142896</v>
      </c>
      <c r="AS5">
        <v>9.1278428571428591</v>
      </c>
      <c r="AT5">
        <v>41.143785714285698</v>
      </c>
      <c r="AU5" s="88"/>
    </row>
    <row r="6" spans="1:47" x14ac:dyDescent="0.15">
      <c r="A6" t="s">
        <v>17</v>
      </c>
      <c r="B6" t="s">
        <v>19</v>
      </c>
      <c r="C6">
        <v>1.10862857142857</v>
      </c>
      <c r="D6">
        <v>4.7001142857142897</v>
      </c>
      <c r="E6">
        <v>1.4001142857142901</v>
      </c>
      <c r="F6">
        <v>3.5015000000000001</v>
      </c>
      <c r="G6">
        <v>10.7103571428571</v>
      </c>
      <c r="I6" t="s">
        <v>17</v>
      </c>
      <c r="J6" t="s">
        <v>19</v>
      </c>
      <c r="K6" t="s">
        <v>17</v>
      </c>
      <c r="L6" t="s">
        <v>19</v>
      </c>
      <c r="M6" s="7">
        <v>10.350995364967201</v>
      </c>
      <c r="N6" s="7">
        <v>43.883824068825199</v>
      </c>
      <c r="O6" s="7">
        <v>13.072526593084101</v>
      </c>
      <c r="P6" s="7">
        <v>32.692653973123498</v>
      </c>
      <c r="Q6" s="89">
        <f>AVERAGE(M6:M8)</f>
        <v>8.7758533798704939</v>
      </c>
      <c r="R6" s="89">
        <f>AVERAGE(N6:N8)</f>
        <v>45.416052375771805</v>
      </c>
      <c r="S6" s="89">
        <f>AVERAGE(O6:O8)</f>
        <v>16.199036109093232</v>
      </c>
      <c r="T6" s="89">
        <f>AVERAGE(P6:P8)</f>
        <v>29.609058135264466</v>
      </c>
      <c r="AF6" t="s">
        <v>5</v>
      </c>
      <c r="AG6" s="7">
        <v>29.159036694863101</v>
      </c>
      <c r="AH6" s="7">
        <v>27.0275512716258</v>
      </c>
      <c r="AI6" s="7">
        <v>25.6559178702433</v>
      </c>
      <c r="AJ6" s="7">
        <v>37.128549302111303</v>
      </c>
      <c r="AK6" s="7">
        <v>34.829906137985603</v>
      </c>
      <c r="AL6" s="7">
        <v>37.795410917204798</v>
      </c>
      <c r="AM6" s="7">
        <v>29.727198014450799</v>
      </c>
      <c r="AN6" t="s">
        <v>17</v>
      </c>
      <c r="AO6" t="s">
        <v>19</v>
      </c>
      <c r="AP6">
        <v>1.10862857142857</v>
      </c>
      <c r="AQ6">
        <v>4.7001142857142897</v>
      </c>
      <c r="AR6">
        <v>1.4001142857142901</v>
      </c>
      <c r="AS6">
        <v>3.5015000000000001</v>
      </c>
      <c r="AT6">
        <v>10.7103571428571</v>
      </c>
      <c r="AU6" s="89">
        <f>AVERAGE(AT6:AT8)</f>
        <v>12.617980952380933</v>
      </c>
    </row>
    <row r="7" spans="1:47" x14ac:dyDescent="0.15">
      <c r="A7" t="s">
        <v>17</v>
      </c>
      <c r="B7" t="s">
        <v>18</v>
      </c>
      <c r="C7">
        <v>1.2193857142857101</v>
      </c>
      <c r="D7">
        <v>4.6897142857142899</v>
      </c>
      <c r="E7">
        <v>2.1550571428571401</v>
      </c>
      <c r="F7">
        <v>2.4698000000000002</v>
      </c>
      <c r="G7">
        <v>10.533957142857099</v>
      </c>
      <c r="I7" t="s">
        <v>17</v>
      </c>
      <c r="J7" t="s">
        <v>18</v>
      </c>
      <c r="K7" t="s">
        <v>17</v>
      </c>
      <c r="L7" t="s">
        <v>18</v>
      </c>
      <c r="M7" s="7">
        <v>11.5757611099885</v>
      </c>
      <c r="N7" s="7">
        <v>44.519967397952499</v>
      </c>
      <c r="O7" s="7">
        <v>20.458191671288901</v>
      </c>
      <c r="P7" s="7">
        <v>23.446079820770102</v>
      </c>
      <c r="Q7" s="89"/>
      <c r="R7" s="89"/>
      <c r="S7" s="89"/>
      <c r="T7" s="89"/>
      <c r="AF7" t="s">
        <v>0</v>
      </c>
      <c r="AG7" t="s">
        <v>26</v>
      </c>
      <c r="AH7" t="s">
        <v>26</v>
      </c>
      <c r="AI7" t="s">
        <v>26</v>
      </c>
      <c r="AJ7" t="s">
        <v>26</v>
      </c>
      <c r="AK7" t="s">
        <v>26</v>
      </c>
      <c r="AL7" t="s">
        <v>26</v>
      </c>
      <c r="AM7" t="s">
        <v>26</v>
      </c>
      <c r="AN7" t="s">
        <v>17</v>
      </c>
      <c r="AO7" t="s">
        <v>18</v>
      </c>
      <c r="AP7">
        <v>1.2193857142857101</v>
      </c>
      <c r="AQ7">
        <v>4.6897142857142899</v>
      </c>
      <c r="AR7">
        <v>2.1550571428571401</v>
      </c>
      <c r="AS7">
        <v>2.4698000000000002</v>
      </c>
      <c r="AT7">
        <v>10.533957142857099</v>
      </c>
      <c r="AU7" s="89"/>
    </row>
    <row r="8" spans="1:47" x14ac:dyDescent="0.15">
      <c r="A8" t="s">
        <v>17</v>
      </c>
      <c r="B8" t="s">
        <v>20</v>
      </c>
      <c r="C8">
        <v>0.73095714285714297</v>
      </c>
      <c r="D8">
        <v>7.9467714285714299</v>
      </c>
      <c r="E8">
        <v>2.5024714285714298</v>
      </c>
      <c r="F8">
        <v>5.4294285714285699</v>
      </c>
      <c r="G8">
        <v>16.609628571428601</v>
      </c>
      <c r="I8" t="s">
        <v>17</v>
      </c>
      <c r="J8" t="s">
        <v>20</v>
      </c>
      <c r="K8" t="s">
        <v>17</v>
      </c>
      <c r="L8" t="s">
        <v>20</v>
      </c>
      <c r="M8" s="7">
        <v>4.40080366465578</v>
      </c>
      <c r="N8" s="7">
        <v>47.844365660537697</v>
      </c>
      <c r="O8" s="7">
        <v>15.0663900629067</v>
      </c>
      <c r="P8" s="7">
        <v>32.6884406118998</v>
      </c>
      <c r="Q8" s="89"/>
      <c r="R8" s="89"/>
      <c r="S8" s="89"/>
      <c r="T8" s="89"/>
      <c r="AF8" t="s">
        <v>1</v>
      </c>
      <c r="AG8" t="s">
        <v>22</v>
      </c>
      <c r="AH8" t="s">
        <v>21</v>
      </c>
      <c r="AI8" t="s">
        <v>23</v>
      </c>
      <c r="AJ8" t="s">
        <v>19</v>
      </c>
      <c r="AK8" t="s">
        <v>18</v>
      </c>
      <c r="AL8" t="s">
        <v>20</v>
      </c>
      <c r="AM8" t="s">
        <v>24</v>
      </c>
      <c r="AN8" t="s">
        <v>17</v>
      </c>
      <c r="AO8" t="s">
        <v>20</v>
      </c>
      <c r="AP8">
        <v>0.73095714285714297</v>
      </c>
      <c r="AQ8">
        <v>7.9467714285714299</v>
      </c>
      <c r="AR8">
        <v>2.5024714285714298</v>
      </c>
      <c r="AS8">
        <v>5.4294285714285699</v>
      </c>
      <c r="AT8">
        <v>16.609628571428601</v>
      </c>
      <c r="AU8" s="89"/>
    </row>
    <row r="9" spans="1:47" x14ac:dyDescent="0.15">
      <c r="A9" t="s">
        <v>25</v>
      </c>
      <c r="B9" t="s">
        <v>24</v>
      </c>
      <c r="C9">
        <v>0.224728571428571</v>
      </c>
      <c r="D9">
        <v>0.992328571428571</v>
      </c>
      <c r="E9">
        <v>1.0432285714285701</v>
      </c>
      <c r="F9">
        <v>1.16074285714286</v>
      </c>
      <c r="G9">
        <v>3.42102857142857</v>
      </c>
      <c r="I9" t="s">
        <v>25</v>
      </c>
      <c r="J9" t="s">
        <v>24</v>
      </c>
      <c r="K9" t="s">
        <v>25</v>
      </c>
      <c r="L9" t="s">
        <v>24</v>
      </c>
      <c r="M9" s="7">
        <v>6.5690352107970904</v>
      </c>
      <c r="N9" s="7">
        <v>29.0067314759137</v>
      </c>
      <c r="O9" s="7">
        <v>30.494588093806399</v>
      </c>
      <c r="P9" s="7">
        <v>33.9296452194829</v>
      </c>
      <c r="Q9" s="8">
        <f>M9</f>
        <v>6.5690352107970904</v>
      </c>
      <c r="R9" s="8">
        <f>N9</f>
        <v>29.0067314759137</v>
      </c>
      <c r="S9" s="8">
        <f>O9</f>
        <v>30.494588093806399</v>
      </c>
      <c r="T9" s="8">
        <f>P9</f>
        <v>33.9296452194829</v>
      </c>
      <c r="AF9" t="s">
        <v>2</v>
      </c>
      <c r="AG9" s="7">
        <v>9.8199194205081408</v>
      </c>
      <c r="AH9" s="7">
        <v>11.700106499146999</v>
      </c>
      <c r="AI9" s="7">
        <v>11.145170224551499</v>
      </c>
      <c r="AJ9" s="7">
        <v>11.0912594338541</v>
      </c>
      <c r="AK9" s="7">
        <v>11.638047795653501</v>
      </c>
      <c r="AL9" s="7">
        <v>9.8041001503372307</v>
      </c>
      <c r="AM9" s="7">
        <v>7.0114180437704299</v>
      </c>
      <c r="AN9" t="s">
        <v>25</v>
      </c>
      <c r="AO9" t="s">
        <v>24</v>
      </c>
      <c r="AP9">
        <v>0.224728571428571</v>
      </c>
      <c r="AQ9">
        <v>0.992328571428571</v>
      </c>
      <c r="AR9">
        <v>1.0432285714285701</v>
      </c>
      <c r="AS9">
        <v>1.16074285714286</v>
      </c>
      <c r="AT9">
        <v>3.42102857142857</v>
      </c>
      <c r="AU9" s="8">
        <f>AT9</f>
        <v>3.42102857142857</v>
      </c>
    </row>
    <row r="10" spans="1:47" x14ac:dyDescent="0.15">
      <c r="A10" t="s">
        <v>25</v>
      </c>
      <c r="B10" t="s">
        <v>22</v>
      </c>
      <c r="C10">
        <v>0.85964285714285704</v>
      </c>
      <c r="D10">
        <v>2.4451571428571399</v>
      </c>
      <c r="E10">
        <v>2.5032000000000001</v>
      </c>
      <c r="F10">
        <v>2.5169714285714302</v>
      </c>
      <c r="G10">
        <v>8.3249714285714305</v>
      </c>
      <c r="I10" t="s">
        <v>25</v>
      </c>
      <c r="J10" t="s">
        <v>22</v>
      </c>
      <c r="K10" t="s">
        <v>25</v>
      </c>
      <c r="L10" t="s">
        <v>22</v>
      </c>
      <c r="M10" s="7">
        <v>10.326075765167801</v>
      </c>
      <c r="N10" s="7">
        <v>29.371357773857699</v>
      </c>
      <c r="O10" s="7">
        <v>30.068571663909601</v>
      </c>
      <c r="P10" s="7">
        <v>30.233994797064899</v>
      </c>
      <c r="Q10" s="88">
        <f>AVERAGE(M10:M12)</f>
        <v>20.962896381408502</v>
      </c>
      <c r="R10" s="88">
        <f>AVERAGE(N10:N12)</f>
        <v>23.608404143188466</v>
      </c>
      <c r="S10" s="88">
        <f>AVERAGE(O10:O12)</f>
        <v>26.505178814435698</v>
      </c>
      <c r="T10" s="88">
        <f>AVERAGE(P10:P12)</f>
        <v>28.923520660967366</v>
      </c>
      <c r="AF10" t="s">
        <v>3</v>
      </c>
      <c r="AG10" s="7">
        <v>19.213979427033699</v>
      </c>
      <c r="AH10" s="7">
        <v>19.5724289790139</v>
      </c>
      <c r="AI10" s="7">
        <v>23.0037496271677</v>
      </c>
      <c r="AJ10" s="7">
        <v>14.6433912118348</v>
      </c>
      <c r="AK10" s="7">
        <v>15.8091203550425</v>
      </c>
      <c r="AL10" s="7">
        <v>18.741867957151399</v>
      </c>
      <c r="AM10" s="7">
        <v>24.2782240654041</v>
      </c>
      <c r="AN10" t="s">
        <v>25</v>
      </c>
      <c r="AO10" t="s">
        <v>22</v>
      </c>
      <c r="AP10">
        <v>0.85964285714285704</v>
      </c>
      <c r="AQ10">
        <v>2.4451571428571399</v>
      </c>
      <c r="AR10">
        <v>2.5032000000000001</v>
      </c>
      <c r="AS10">
        <v>2.5169714285714302</v>
      </c>
      <c r="AT10">
        <v>8.3249714285714305</v>
      </c>
      <c r="AU10" s="88">
        <f>AVERAGE(AT10:AT12)</f>
        <v>8.6004190476190505</v>
      </c>
    </row>
    <row r="11" spans="1:47" x14ac:dyDescent="0.15">
      <c r="A11" t="s">
        <v>25</v>
      </c>
      <c r="B11" t="s">
        <v>21</v>
      </c>
      <c r="C11">
        <v>3.15977142857143</v>
      </c>
      <c r="D11">
        <v>2.10202857142857</v>
      </c>
      <c r="E11">
        <v>2.1305000000000001</v>
      </c>
      <c r="F11">
        <v>2.4434428571428599</v>
      </c>
      <c r="G11">
        <v>9.8357428571428596</v>
      </c>
      <c r="I11" t="s">
        <v>25</v>
      </c>
      <c r="J11" t="s">
        <v>21</v>
      </c>
      <c r="K11" t="s">
        <v>25</v>
      </c>
      <c r="L11" t="s">
        <v>21</v>
      </c>
      <c r="M11" s="7">
        <v>32.125396876116604</v>
      </c>
      <c r="N11" s="7">
        <v>21.371324992520002</v>
      </c>
      <c r="O11" s="7">
        <v>21.660794013670301</v>
      </c>
      <c r="P11" s="7">
        <v>24.8424841176932</v>
      </c>
      <c r="Q11" s="88"/>
      <c r="R11" s="88"/>
      <c r="S11" s="88"/>
      <c r="T11" s="88"/>
      <c r="AF11" t="s">
        <v>4</v>
      </c>
      <c r="AG11" s="7">
        <v>39.6385844180476</v>
      </c>
      <c r="AH11" s="7">
        <v>35.267636742318203</v>
      </c>
      <c r="AI11" s="7">
        <v>37.022753419404303</v>
      </c>
      <c r="AJ11" s="7">
        <v>38.560916707006797</v>
      </c>
      <c r="AK11" s="7">
        <v>37.456262177876503</v>
      </c>
      <c r="AL11" s="7">
        <v>37.944087092702397</v>
      </c>
      <c r="AM11" s="7">
        <v>35.9997496235383</v>
      </c>
      <c r="AN11" t="s">
        <v>25</v>
      </c>
      <c r="AO11" t="s">
        <v>21</v>
      </c>
      <c r="AP11">
        <v>3.15977142857143</v>
      </c>
      <c r="AQ11">
        <v>2.10202857142857</v>
      </c>
      <c r="AR11">
        <v>2.1305000000000001</v>
      </c>
      <c r="AS11">
        <v>2.4434428571428599</v>
      </c>
      <c r="AT11">
        <v>9.8357428571428596</v>
      </c>
      <c r="AU11" s="88"/>
    </row>
    <row r="12" spans="1:47" x14ac:dyDescent="0.15">
      <c r="A12" t="s">
        <v>25</v>
      </c>
      <c r="B12" t="s">
        <v>23</v>
      </c>
      <c r="C12">
        <v>1.5615142857142901</v>
      </c>
      <c r="D12">
        <v>1.5344142857142899</v>
      </c>
      <c r="E12">
        <v>2.12301428571429</v>
      </c>
      <c r="F12">
        <v>2.4216000000000002</v>
      </c>
      <c r="G12">
        <v>7.6405428571428597</v>
      </c>
      <c r="I12" t="s">
        <v>25</v>
      </c>
      <c r="J12" t="s">
        <v>23</v>
      </c>
      <c r="K12" t="s">
        <v>25</v>
      </c>
      <c r="L12" t="s">
        <v>23</v>
      </c>
      <c r="M12" s="7">
        <v>20.437216502941101</v>
      </c>
      <c r="N12" s="7">
        <v>20.082529663187699</v>
      </c>
      <c r="O12" s="7">
        <v>27.786170765727199</v>
      </c>
      <c r="P12" s="7">
        <v>31.694083068144</v>
      </c>
      <c r="Q12" s="88"/>
      <c r="R12" s="88"/>
      <c r="S12" s="88"/>
      <c r="T12" s="88"/>
      <c r="AF12" t="s">
        <v>5</v>
      </c>
      <c r="AG12" s="7">
        <v>31.327516734410501</v>
      </c>
      <c r="AH12" s="7">
        <v>33.4598277795209</v>
      </c>
      <c r="AI12" s="7">
        <v>28.828326728876402</v>
      </c>
      <c r="AJ12" s="7">
        <v>35.704432647304301</v>
      </c>
      <c r="AK12" s="7">
        <v>35.096569671427602</v>
      </c>
      <c r="AL12" s="7">
        <v>33.509944799809098</v>
      </c>
      <c r="AM12" s="7">
        <v>32.710608267287199</v>
      </c>
      <c r="AN12" t="s">
        <v>25</v>
      </c>
      <c r="AO12" t="s">
        <v>23</v>
      </c>
      <c r="AP12">
        <v>1.5615142857142901</v>
      </c>
      <c r="AQ12">
        <v>1.5344142857142899</v>
      </c>
      <c r="AR12">
        <v>2.12301428571429</v>
      </c>
      <c r="AS12">
        <v>2.4216000000000002</v>
      </c>
      <c r="AT12">
        <v>7.6405428571428597</v>
      </c>
      <c r="AU12" s="88"/>
    </row>
    <row r="13" spans="1:47" x14ac:dyDescent="0.15">
      <c r="A13" t="s">
        <v>25</v>
      </c>
      <c r="B13" t="s">
        <v>19</v>
      </c>
      <c r="C13">
        <v>0.37194285714285702</v>
      </c>
      <c r="D13">
        <v>1.20187142857143</v>
      </c>
      <c r="E13">
        <v>2.5628285714285699</v>
      </c>
      <c r="F13">
        <v>3.1278999999999999</v>
      </c>
      <c r="G13">
        <v>7.2645428571428603</v>
      </c>
      <c r="I13" t="s">
        <v>25</v>
      </c>
      <c r="J13" t="s">
        <v>19</v>
      </c>
      <c r="K13" t="s">
        <v>25</v>
      </c>
      <c r="L13" t="s">
        <v>19</v>
      </c>
      <c r="M13" s="7">
        <v>5.1199760873754698</v>
      </c>
      <c r="N13" s="7">
        <v>16.5443504458053</v>
      </c>
      <c r="O13" s="7">
        <v>35.278593874749802</v>
      </c>
      <c r="P13" s="7">
        <v>43.057079592069499</v>
      </c>
      <c r="Q13" s="89">
        <f>AVERAGE(M13:M15)</f>
        <v>7.3843196440093974</v>
      </c>
      <c r="R13" s="89">
        <f>AVERAGE(N13:N15)</f>
        <v>17.382837116827702</v>
      </c>
      <c r="S13" s="89">
        <f>AVERAGE(O13:O15)</f>
        <v>32.50173325822977</v>
      </c>
      <c r="T13" s="89">
        <f>AVERAGE(P13:P15)</f>
        <v>42.731109980933191</v>
      </c>
      <c r="AF13" t="s">
        <v>0</v>
      </c>
      <c r="AG13" t="s">
        <v>25</v>
      </c>
      <c r="AH13" t="s">
        <v>25</v>
      </c>
      <c r="AI13" t="s">
        <v>25</v>
      </c>
      <c r="AJ13" t="s">
        <v>25</v>
      </c>
      <c r="AK13" t="s">
        <v>25</v>
      </c>
      <c r="AL13" t="s">
        <v>25</v>
      </c>
      <c r="AM13" t="s">
        <v>25</v>
      </c>
      <c r="AN13" t="s">
        <v>25</v>
      </c>
      <c r="AO13" t="s">
        <v>19</v>
      </c>
      <c r="AP13">
        <v>0.37194285714285702</v>
      </c>
      <c r="AQ13">
        <v>1.20187142857143</v>
      </c>
      <c r="AR13">
        <v>2.5628285714285699</v>
      </c>
      <c r="AS13">
        <v>3.1278999999999999</v>
      </c>
      <c r="AT13">
        <v>7.2645428571428603</v>
      </c>
      <c r="AU13" s="89">
        <f>AVERAGE(AT13:AT15)</f>
        <v>5.9747857142857166</v>
      </c>
    </row>
    <row r="14" spans="1:47" x14ac:dyDescent="0.15">
      <c r="A14" t="s">
        <v>25</v>
      </c>
      <c r="B14" t="s">
        <v>18</v>
      </c>
      <c r="C14">
        <v>0.45595714285714301</v>
      </c>
      <c r="D14">
        <v>0.85401428571428595</v>
      </c>
      <c r="E14">
        <v>1.45161428571429</v>
      </c>
      <c r="F14">
        <v>2.22132857142857</v>
      </c>
      <c r="G14">
        <v>4.9829142857142896</v>
      </c>
      <c r="I14" t="s">
        <v>25</v>
      </c>
      <c r="J14" t="s">
        <v>18</v>
      </c>
      <c r="K14" t="s">
        <v>25</v>
      </c>
      <c r="L14" t="s">
        <v>18</v>
      </c>
      <c r="M14" s="7">
        <v>9.1504111191385409</v>
      </c>
      <c r="N14" s="7">
        <v>17.138851618674099</v>
      </c>
      <c r="O14" s="7">
        <v>29.131833350535</v>
      </c>
      <c r="P14" s="7">
        <v>44.578903911652397</v>
      </c>
      <c r="Q14" s="89"/>
      <c r="R14" s="89"/>
      <c r="S14" s="89"/>
      <c r="T14" s="89"/>
      <c r="AF14" t="s">
        <v>1</v>
      </c>
      <c r="AG14" t="s">
        <v>22</v>
      </c>
      <c r="AH14" t="s">
        <v>21</v>
      </c>
      <c r="AI14" t="s">
        <v>23</v>
      </c>
      <c r="AJ14" t="s">
        <v>19</v>
      </c>
      <c r="AK14" t="s">
        <v>18</v>
      </c>
      <c r="AL14" t="s">
        <v>20</v>
      </c>
      <c r="AM14" t="s">
        <v>24</v>
      </c>
      <c r="AN14" t="s">
        <v>25</v>
      </c>
      <c r="AO14" t="s">
        <v>18</v>
      </c>
      <c r="AP14">
        <v>0.45595714285714301</v>
      </c>
      <c r="AQ14">
        <v>0.85401428571428595</v>
      </c>
      <c r="AR14">
        <v>1.45161428571429</v>
      </c>
      <c r="AS14">
        <v>2.22132857142857</v>
      </c>
      <c r="AT14">
        <v>4.9829142857142896</v>
      </c>
      <c r="AU14" s="89"/>
    </row>
    <row r="15" spans="1:47" x14ac:dyDescent="0.15">
      <c r="A15" t="s">
        <v>25</v>
      </c>
      <c r="B15" t="s">
        <v>20</v>
      </c>
      <c r="C15">
        <v>0.44748571428571399</v>
      </c>
      <c r="D15">
        <v>1.0482571428571399</v>
      </c>
      <c r="E15">
        <v>1.8787571428571399</v>
      </c>
      <c r="F15">
        <v>2.3024</v>
      </c>
      <c r="G15">
        <v>5.6768999999999998</v>
      </c>
      <c r="I15" t="s">
        <v>25</v>
      </c>
      <c r="J15" t="s">
        <v>20</v>
      </c>
      <c r="K15" t="s">
        <v>25</v>
      </c>
      <c r="L15" t="s">
        <v>20</v>
      </c>
      <c r="M15" s="7">
        <v>7.8825717255141798</v>
      </c>
      <c r="N15" s="7">
        <v>18.465309286003698</v>
      </c>
      <c r="O15" s="7">
        <v>33.094772549404503</v>
      </c>
      <c r="P15" s="7">
        <v>40.557346439077698</v>
      </c>
      <c r="Q15" s="89"/>
      <c r="R15" s="89"/>
      <c r="S15" s="89"/>
      <c r="T15" s="89"/>
      <c r="AF15" t="s">
        <v>2</v>
      </c>
      <c r="AG15" s="7">
        <v>10.326075765167801</v>
      </c>
      <c r="AH15" s="7">
        <v>32.125396876116604</v>
      </c>
      <c r="AI15" s="7">
        <v>20.437216502941101</v>
      </c>
      <c r="AJ15" s="7">
        <v>5.1199760873754698</v>
      </c>
      <c r="AK15" s="7">
        <v>9.1504111191385409</v>
      </c>
      <c r="AL15" s="7">
        <v>7.8825717255141798</v>
      </c>
      <c r="AM15" s="7">
        <v>6.5690352107970904</v>
      </c>
      <c r="AN15" t="s">
        <v>25</v>
      </c>
      <c r="AO15" t="s">
        <v>20</v>
      </c>
      <c r="AP15">
        <v>0.44748571428571399</v>
      </c>
      <c r="AQ15">
        <v>1.0482571428571399</v>
      </c>
      <c r="AR15">
        <v>1.8787571428571399</v>
      </c>
      <c r="AS15">
        <v>2.3024</v>
      </c>
      <c r="AT15">
        <v>5.6768999999999998</v>
      </c>
      <c r="AU15" s="89"/>
    </row>
    <row r="16" spans="1:47" x14ac:dyDescent="0.15">
      <c r="A16" t="s">
        <v>26</v>
      </c>
      <c r="B16" t="s">
        <v>24</v>
      </c>
      <c r="C16">
        <v>1.2561571428571401</v>
      </c>
      <c r="D16">
        <v>4.34965714285714</v>
      </c>
      <c r="E16">
        <v>6.4496714285714303</v>
      </c>
      <c r="F16">
        <v>5.8603928571428598</v>
      </c>
      <c r="G16">
        <v>17.9158785714286</v>
      </c>
      <c r="I16" t="s">
        <v>26</v>
      </c>
      <c r="J16" t="s">
        <v>24</v>
      </c>
      <c r="K16" t="s">
        <v>26</v>
      </c>
      <c r="L16" t="s">
        <v>24</v>
      </c>
      <c r="M16" s="7">
        <v>7.0114180437704299</v>
      </c>
      <c r="N16" s="7">
        <v>24.2782240654041</v>
      </c>
      <c r="O16" s="7">
        <v>35.9997496235383</v>
      </c>
      <c r="P16" s="7">
        <v>32.710608267287199</v>
      </c>
      <c r="Q16" s="8">
        <f>M16</f>
        <v>7.0114180437704299</v>
      </c>
      <c r="R16" s="8">
        <f>N16</f>
        <v>24.2782240654041</v>
      </c>
      <c r="S16" s="8">
        <f>O16</f>
        <v>35.9997496235383</v>
      </c>
      <c r="T16" s="8">
        <f>P16</f>
        <v>32.710608267287199</v>
      </c>
      <c r="AF16" t="s">
        <v>3</v>
      </c>
      <c r="AG16" s="7">
        <v>29.371357773857699</v>
      </c>
      <c r="AH16" s="7">
        <v>21.371324992520002</v>
      </c>
      <c r="AI16" s="7">
        <v>20.082529663187699</v>
      </c>
      <c r="AJ16" s="7">
        <v>16.5443504458053</v>
      </c>
      <c r="AK16" s="7">
        <v>17.138851618674099</v>
      </c>
      <c r="AL16" s="7">
        <v>18.465309286003698</v>
      </c>
      <c r="AM16" s="7">
        <v>29.0067314759137</v>
      </c>
      <c r="AN16" t="s">
        <v>26</v>
      </c>
      <c r="AO16" t="s">
        <v>24</v>
      </c>
      <c r="AP16">
        <v>1.2561571428571401</v>
      </c>
      <c r="AQ16">
        <v>4.34965714285714</v>
      </c>
      <c r="AR16">
        <v>6.4496714285714303</v>
      </c>
      <c r="AS16">
        <v>5.8603928571428598</v>
      </c>
      <c r="AT16">
        <v>17.9158785714286</v>
      </c>
      <c r="AU16" s="8">
        <f>AT16</f>
        <v>17.9158785714286</v>
      </c>
    </row>
    <row r="17" spans="1:47" x14ac:dyDescent="0.15">
      <c r="A17" t="s">
        <v>26</v>
      </c>
      <c r="B17" t="s">
        <v>22</v>
      </c>
      <c r="C17">
        <v>6.53098571428571</v>
      </c>
      <c r="D17">
        <v>12.7787428571429</v>
      </c>
      <c r="E17">
        <v>26.362642857142902</v>
      </c>
      <c r="F17">
        <v>20.835157142857099</v>
      </c>
      <c r="G17">
        <v>66.507528571428594</v>
      </c>
      <c r="I17" t="s">
        <v>26</v>
      </c>
      <c r="J17" t="s">
        <v>22</v>
      </c>
      <c r="K17" t="s">
        <v>26</v>
      </c>
      <c r="L17" t="s">
        <v>22</v>
      </c>
      <c r="M17" s="7">
        <v>9.8199194205081408</v>
      </c>
      <c r="N17" s="7">
        <v>19.213979427033699</v>
      </c>
      <c r="O17" s="7">
        <v>39.6385844180476</v>
      </c>
      <c r="P17" s="7">
        <v>31.327516734410501</v>
      </c>
      <c r="Q17" s="88">
        <f>AVERAGE(M17:M19)</f>
        <v>10.888398714735546</v>
      </c>
      <c r="R17" s="88">
        <f>AVERAGE(N17:N19)</f>
        <v>20.596719344405098</v>
      </c>
      <c r="S17" s="88">
        <f>AVERAGE(O17:O19)</f>
        <v>37.309658193256702</v>
      </c>
      <c r="T17" s="88">
        <f>AVERAGE(P17:P19)</f>
        <v>31.205223747602602</v>
      </c>
      <c r="AF17" t="s">
        <v>4</v>
      </c>
      <c r="AG17" s="7">
        <v>30.068571663909601</v>
      </c>
      <c r="AH17" s="7">
        <v>21.660794013670301</v>
      </c>
      <c r="AI17" s="7">
        <v>27.786170765727199</v>
      </c>
      <c r="AJ17" s="7">
        <v>35.278593874749802</v>
      </c>
      <c r="AK17" s="7">
        <v>29.131833350535</v>
      </c>
      <c r="AL17" s="7">
        <v>33.094772549404503</v>
      </c>
      <c r="AM17" s="7">
        <v>30.494588093806399</v>
      </c>
      <c r="AN17" t="s">
        <v>26</v>
      </c>
      <c r="AO17" t="s">
        <v>22</v>
      </c>
      <c r="AP17">
        <v>6.53098571428571</v>
      </c>
      <c r="AQ17">
        <v>12.7787428571429</v>
      </c>
      <c r="AR17">
        <v>26.362642857142902</v>
      </c>
      <c r="AS17">
        <v>20.835157142857099</v>
      </c>
      <c r="AT17">
        <v>66.507528571428594</v>
      </c>
      <c r="AU17" s="88">
        <f>AVERAGE(AT17:AT19)</f>
        <v>54.516533333333371</v>
      </c>
    </row>
    <row r="18" spans="1:47" x14ac:dyDescent="0.15">
      <c r="A18" t="s">
        <v>26</v>
      </c>
      <c r="B18" t="s">
        <v>21</v>
      </c>
      <c r="C18">
        <v>7.43131428571429</v>
      </c>
      <c r="D18">
        <v>12.4314142857143</v>
      </c>
      <c r="E18">
        <v>22.400214285714299</v>
      </c>
      <c r="F18">
        <v>21.251985714285698</v>
      </c>
      <c r="G18">
        <v>63.514928571428598</v>
      </c>
      <c r="I18" t="s">
        <v>26</v>
      </c>
      <c r="J18" t="s">
        <v>21</v>
      </c>
      <c r="K18" t="s">
        <v>26</v>
      </c>
      <c r="L18" t="s">
        <v>21</v>
      </c>
      <c r="M18" s="7">
        <v>11.700106499146999</v>
      </c>
      <c r="N18" s="7">
        <v>19.5724289790139</v>
      </c>
      <c r="O18" s="7">
        <v>35.267636742318203</v>
      </c>
      <c r="P18" s="7">
        <v>33.4598277795209</v>
      </c>
      <c r="Q18" s="88"/>
      <c r="R18" s="88"/>
      <c r="S18" s="88"/>
      <c r="T18" s="88"/>
      <c r="AF18" t="s">
        <v>5</v>
      </c>
      <c r="AG18" s="7">
        <v>30.233994797064899</v>
      </c>
      <c r="AH18" s="7">
        <v>24.8424841176932</v>
      </c>
      <c r="AI18" s="7">
        <v>31.694083068144</v>
      </c>
      <c r="AJ18" s="7">
        <v>43.057079592069499</v>
      </c>
      <c r="AK18" s="7">
        <v>44.578903911652397</v>
      </c>
      <c r="AL18" s="7">
        <v>40.557346439077698</v>
      </c>
      <c r="AM18" s="7">
        <v>33.9296452194829</v>
      </c>
      <c r="AN18" t="s">
        <v>26</v>
      </c>
      <c r="AO18" t="s">
        <v>21</v>
      </c>
      <c r="AP18">
        <v>7.43131428571429</v>
      </c>
      <c r="AQ18">
        <v>12.4314142857143</v>
      </c>
      <c r="AR18">
        <v>22.400214285714299</v>
      </c>
      <c r="AS18">
        <v>21.251985714285698</v>
      </c>
      <c r="AT18">
        <v>63.514928571428598</v>
      </c>
      <c r="AU18" s="88"/>
    </row>
    <row r="19" spans="1:47" x14ac:dyDescent="0.15">
      <c r="A19" t="s">
        <v>26</v>
      </c>
      <c r="B19" t="s">
        <v>23</v>
      </c>
      <c r="C19">
        <v>3.73665714285714</v>
      </c>
      <c r="D19">
        <v>7.7125000000000004</v>
      </c>
      <c r="E19">
        <v>12.4126714285714</v>
      </c>
      <c r="F19">
        <v>9.66531428571429</v>
      </c>
      <c r="G19">
        <v>33.527142857142898</v>
      </c>
      <c r="I19" t="s">
        <v>26</v>
      </c>
      <c r="J19" t="s">
        <v>23</v>
      </c>
      <c r="K19" t="s">
        <v>26</v>
      </c>
      <c r="L19" t="s">
        <v>23</v>
      </c>
      <c r="M19" s="7">
        <v>11.145170224551499</v>
      </c>
      <c r="N19" s="7">
        <v>23.0037496271677</v>
      </c>
      <c r="O19" s="7">
        <v>37.022753419404303</v>
      </c>
      <c r="P19" s="7">
        <v>28.828326728876402</v>
      </c>
      <c r="Q19" s="88"/>
      <c r="R19" s="88"/>
      <c r="S19" s="88"/>
      <c r="T19" s="88"/>
      <c r="AF19" t="s">
        <v>0</v>
      </c>
      <c r="AG19" t="s">
        <v>17</v>
      </c>
      <c r="AH19" t="s">
        <v>17</v>
      </c>
      <c r="AI19" t="s">
        <v>17</v>
      </c>
      <c r="AJ19" t="s">
        <v>17</v>
      </c>
      <c r="AK19" t="s">
        <v>17</v>
      </c>
      <c r="AL19" t="s">
        <v>17</v>
      </c>
      <c r="AM19" t="s">
        <v>17</v>
      </c>
      <c r="AN19" t="s">
        <v>26</v>
      </c>
      <c r="AO19" t="s">
        <v>23</v>
      </c>
      <c r="AP19">
        <v>3.73665714285714</v>
      </c>
      <c r="AQ19">
        <v>7.7125000000000004</v>
      </c>
      <c r="AR19">
        <v>12.4126714285714</v>
      </c>
      <c r="AS19">
        <v>9.66531428571429</v>
      </c>
      <c r="AT19">
        <v>33.527142857142898</v>
      </c>
      <c r="AU19" s="88"/>
    </row>
    <row r="20" spans="1:47" x14ac:dyDescent="0.15">
      <c r="A20" t="s">
        <v>26</v>
      </c>
      <c r="B20" t="s">
        <v>19</v>
      </c>
      <c r="C20">
        <v>2.35011428571429</v>
      </c>
      <c r="D20">
        <v>3.1027714285714301</v>
      </c>
      <c r="E20">
        <v>8.1706285714285691</v>
      </c>
      <c r="F20">
        <v>7.5653714285714297</v>
      </c>
      <c r="G20">
        <v>21.1888857142857</v>
      </c>
      <c r="I20" t="s">
        <v>26</v>
      </c>
      <c r="J20" t="s">
        <v>19</v>
      </c>
      <c r="K20" t="s">
        <v>26</v>
      </c>
      <c r="L20" t="s">
        <v>19</v>
      </c>
      <c r="M20" s="7">
        <v>11.0912594338541</v>
      </c>
      <c r="N20" s="7">
        <v>14.6433912118348</v>
      </c>
      <c r="O20" s="7">
        <v>38.560916707006797</v>
      </c>
      <c r="P20" s="7">
        <v>35.704432647304301</v>
      </c>
      <c r="Q20" s="89">
        <f>AVERAGE(M20:M22)</f>
        <v>10.844469126614944</v>
      </c>
      <c r="R20" s="89">
        <f>AVERAGE(N20:N22)</f>
        <v>16.398126508009565</v>
      </c>
      <c r="S20" s="89">
        <f>AVERAGE(O20:O22)</f>
        <v>37.98708865919523</v>
      </c>
      <c r="T20" s="89">
        <f>AVERAGE(P20:P22)</f>
        <v>34.770315706180334</v>
      </c>
      <c r="AF20" t="s">
        <v>1</v>
      </c>
      <c r="AG20" t="s">
        <v>22</v>
      </c>
      <c r="AH20" t="s">
        <v>21</v>
      </c>
      <c r="AI20" t="s">
        <v>23</v>
      </c>
      <c r="AJ20" t="s">
        <v>19</v>
      </c>
      <c r="AK20" t="s">
        <v>18</v>
      </c>
      <c r="AL20" t="s">
        <v>20</v>
      </c>
      <c r="AM20" t="s">
        <v>24</v>
      </c>
      <c r="AN20" t="s">
        <v>26</v>
      </c>
      <c r="AO20" t="s">
        <v>19</v>
      </c>
      <c r="AP20">
        <v>2.35011428571429</v>
      </c>
      <c r="AQ20">
        <v>3.1027714285714301</v>
      </c>
      <c r="AR20">
        <v>8.1706285714285691</v>
      </c>
      <c r="AS20">
        <v>7.5653714285714297</v>
      </c>
      <c r="AT20">
        <v>21.1888857142857</v>
      </c>
      <c r="AU20" s="89">
        <f>AVERAGE(AT20:AT22)</f>
        <v>27.20768</v>
      </c>
    </row>
    <row r="21" spans="1:47" x14ac:dyDescent="0.15">
      <c r="A21" t="s">
        <v>26</v>
      </c>
      <c r="B21" t="s">
        <v>18</v>
      </c>
      <c r="C21">
        <v>4.0213285714285698</v>
      </c>
      <c r="D21">
        <v>5.4625714285714304</v>
      </c>
      <c r="E21">
        <v>12.9423714285714</v>
      </c>
      <c r="F21">
        <v>12.12702</v>
      </c>
      <c r="G21">
        <v>34.553291428571399</v>
      </c>
      <c r="I21" t="s">
        <v>26</v>
      </c>
      <c r="J21" t="s">
        <v>18</v>
      </c>
      <c r="K21" t="s">
        <v>26</v>
      </c>
      <c r="L21" t="s">
        <v>18</v>
      </c>
      <c r="M21" s="7">
        <v>11.638047795653501</v>
      </c>
      <c r="N21" s="7">
        <v>15.8091203550425</v>
      </c>
      <c r="O21" s="7">
        <v>37.456262177876503</v>
      </c>
      <c r="P21" s="7">
        <v>35.096569671427602</v>
      </c>
      <c r="Q21" s="89"/>
      <c r="R21" s="89"/>
      <c r="S21" s="89"/>
      <c r="T21" s="89"/>
      <c r="AF21" t="s">
        <v>2</v>
      </c>
      <c r="AG21" s="7">
        <v>9.3576158981823703</v>
      </c>
      <c r="AH21" s="7">
        <v>5.35603289852983</v>
      </c>
      <c r="AI21" s="7">
        <v>12.9133543860989</v>
      </c>
      <c r="AJ21" s="7">
        <v>10.350995364967201</v>
      </c>
      <c r="AK21" s="7">
        <v>11.5757611099885</v>
      </c>
      <c r="AL21" s="7">
        <v>4.40080366465578</v>
      </c>
      <c r="AM21" s="7">
        <v>2.2388776945468498</v>
      </c>
      <c r="AN21" t="s">
        <v>26</v>
      </c>
      <c r="AO21" t="s">
        <v>18</v>
      </c>
      <c r="AP21">
        <v>4.0213285714285698</v>
      </c>
      <c r="AQ21">
        <v>5.4625714285714304</v>
      </c>
      <c r="AR21">
        <v>12.9423714285714</v>
      </c>
      <c r="AS21">
        <v>12.12702</v>
      </c>
      <c r="AT21">
        <v>34.553291428571399</v>
      </c>
      <c r="AU21" s="89"/>
    </row>
    <row r="22" spans="1:47" x14ac:dyDescent="0.15">
      <c r="A22" t="s">
        <v>26</v>
      </c>
      <c r="B22" t="s">
        <v>20</v>
      </c>
      <c r="C22">
        <v>2.5373857142857101</v>
      </c>
      <c r="D22">
        <v>4.8505571428571397</v>
      </c>
      <c r="E22">
        <v>9.8202571428571392</v>
      </c>
      <c r="F22">
        <v>8.6726628571428606</v>
      </c>
      <c r="G22">
        <v>25.880862857142901</v>
      </c>
      <c r="I22" t="s">
        <v>26</v>
      </c>
      <c r="J22" t="s">
        <v>20</v>
      </c>
      <c r="K22" t="s">
        <v>26</v>
      </c>
      <c r="L22" t="s">
        <v>20</v>
      </c>
      <c r="M22" s="7">
        <v>9.8041001503372307</v>
      </c>
      <c r="N22" s="7">
        <v>18.741867957151399</v>
      </c>
      <c r="O22" s="7">
        <v>37.944087092702397</v>
      </c>
      <c r="P22" s="7">
        <v>33.509944799809098</v>
      </c>
      <c r="Q22" s="89"/>
      <c r="R22" s="89"/>
      <c r="S22" s="89"/>
      <c r="T22" s="89"/>
      <c r="AF22" t="s">
        <v>3</v>
      </c>
      <c r="AG22" s="7">
        <v>47.563215342203897</v>
      </c>
      <c r="AH22" s="7">
        <v>61.1872004720381</v>
      </c>
      <c r="AI22" s="7">
        <v>50.032065248527402</v>
      </c>
      <c r="AJ22" s="7">
        <v>43.883824068825199</v>
      </c>
      <c r="AK22" s="7">
        <v>44.519967397952499</v>
      </c>
      <c r="AL22" s="7">
        <v>47.844365660537697</v>
      </c>
      <c r="AM22" s="7">
        <v>49.800716567895499</v>
      </c>
      <c r="AN22" t="s">
        <v>26</v>
      </c>
      <c r="AO22" t="s">
        <v>20</v>
      </c>
      <c r="AP22">
        <v>2.5373857142857101</v>
      </c>
      <c r="AQ22">
        <v>4.8505571428571397</v>
      </c>
      <c r="AR22">
        <v>9.8202571428571392</v>
      </c>
      <c r="AS22">
        <v>8.6726628571428606</v>
      </c>
      <c r="AT22">
        <v>25.880862857142901</v>
      </c>
      <c r="AU22" s="89"/>
    </row>
    <row r="23" spans="1:47" x14ac:dyDescent="0.15">
      <c r="A23" t="s">
        <v>27</v>
      </c>
      <c r="B23" t="s">
        <v>24</v>
      </c>
      <c r="C23">
        <v>0.72017142857142902</v>
      </c>
      <c r="D23">
        <v>1.8378785714285699</v>
      </c>
      <c r="E23">
        <v>1.7233857142857101</v>
      </c>
      <c r="F23">
        <v>1.81115714285714</v>
      </c>
      <c r="G23">
        <v>6.0925928571428596</v>
      </c>
      <c r="I23" t="s">
        <v>27</v>
      </c>
      <c r="J23" t="s">
        <v>24</v>
      </c>
      <c r="K23" t="s">
        <v>27</v>
      </c>
      <c r="L23" t="s">
        <v>24</v>
      </c>
      <c r="M23" s="7">
        <v>11.8204423873017</v>
      </c>
      <c r="N23" s="7">
        <v>30.1657867926276</v>
      </c>
      <c r="O23" s="7">
        <v>28.286572805619901</v>
      </c>
      <c r="P23" s="7">
        <v>29.727198014450799</v>
      </c>
      <c r="Q23" s="8">
        <f>M23</f>
        <v>11.8204423873017</v>
      </c>
      <c r="R23" s="8">
        <f>N23</f>
        <v>30.1657867926276</v>
      </c>
      <c r="S23" s="8">
        <f>O23</f>
        <v>28.286572805619901</v>
      </c>
      <c r="T23" s="8">
        <f>P23</f>
        <v>29.727198014450799</v>
      </c>
      <c r="AF23" t="s">
        <v>4</v>
      </c>
      <c r="AG23" s="7">
        <v>18.0658917080512</v>
      </c>
      <c r="AH23" s="7">
        <v>11.869977839435</v>
      </c>
      <c r="AI23" s="7">
        <v>14.8693519069882</v>
      </c>
      <c r="AJ23" s="7">
        <v>13.072526593084101</v>
      </c>
      <c r="AK23" s="7">
        <v>20.458191671288901</v>
      </c>
      <c r="AL23" s="7">
        <v>15.0663900629067</v>
      </c>
      <c r="AM23" s="7">
        <v>17.476434076004299</v>
      </c>
      <c r="AN23" t="s">
        <v>27</v>
      </c>
      <c r="AO23" t="s">
        <v>24</v>
      </c>
      <c r="AP23">
        <v>0.72017142857142902</v>
      </c>
      <c r="AQ23">
        <v>1.8378785714285699</v>
      </c>
      <c r="AR23">
        <v>1.7233857142857101</v>
      </c>
      <c r="AS23">
        <v>1.81115714285714</v>
      </c>
      <c r="AT23">
        <v>6.0925928571428596</v>
      </c>
      <c r="AU23" s="8">
        <f>AT23</f>
        <v>6.0925928571428596</v>
      </c>
    </row>
    <row r="24" spans="1:47" x14ac:dyDescent="0.15">
      <c r="A24" t="s">
        <v>27</v>
      </c>
      <c r="B24" t="s">
        <v>22</v>
      </c>
      <c r="C24">
        <v>8.8055714285714295</v>
      </c>
      <c r="D24">
        <v>17.505385714285701</v>
      </c>
      <c r="E24">
        <v>23.7206857142857</v>
      </c>
      <c r="F24">
        <v>20.593657142857101</v>
      </c>
      <c r="G24">
        <v>70.625299999999996</v>
      </c>
      <c r="I24" t="s">
        <v>27</v>
      </c>
      <c r="J24" t="s">
        <v>22</v>
      </c>
      <c r="K24" t="s">
        <v>27</v>
      </c>
      <c r="L24" t="s">
        <v>22</v>
      </c>
      <c r="M24" s="7">
        <v>12.4680127781</v>
      </c>
      <c r="N24" s="7">
        <v>24.786281565226201</v>
      </c>
      <c r="O24" s="7">
        <v>33.586668961810702</v>
      </c>
      <c r="P24" s="7">
        <v>29.159036694863101</v>
      </c>
      <c r="Q24" s="88">
        <f>AVERAGE(M24:M26)</f>
        <v>15.477323692030302</v>
      </c>
      <c r="R24" s="88">
        <f>AVERAGE(N24:N26)</f>
        <v>24.543527853483138</v>
      </c>
      <c r="S24" s="88">
        <f>AVERAGE(O24:O26)</f>
        <v>32.698313175575834</v>
      </c>
      <c r="T24" s="88">
        <f>AVERAGE(P24:P26)</f>
        <v>27.280835278910732</v>
      </c>
      <c r="AF24" t="s">
        <v>5</v>
      </c>
      <c r="AG24" s="7">
        <v>25.0132770515625</v>
      </c>
      <c r="AH24" s="7">
        <v>21.586788789997101</v>
      </c>
      <c r="AI24" s="7">
        <v>22.185228458385499</v>
      </c>
      <c r="AJ24" s="7">
        <v>32.692653973123498</v>
      </c>
      <c r="AK24" s="7">
        <v>23.446079820770102</v>
      </c>
      <c r="AL24" s="7">
        <v>32.6884406118998</v>
      </c>
      <c r="AM24" s="7">
        <v>30.483971661553301</v>
      </c>
      <c r="AN24" t="s">
        <v>27</v>
      </c>
      <c r="AO24" t="s">
        <v>22</v>
      </c>
      <c r="AP24">
        <v>8.8055714285714295</v>
      </c>
      <c r="AQ24">
        <v>17.505385714285701</v>
      </c>
      <c r="AR24">
        <v>23.7206857142857</v>
      </c>
      <c r="AS24">
        <v>20.593657142857101</v>
      </c>
      <c r="AT24">
        <v>70.625299999999996</v>
      </c>
      <c r="AU24" s="88">
        <f>AVERAGE(AT24:AT26)</f>
        <v>58.869360476190458</v>
      </c>
    </row>
    <row r="25" spans="1:47" x14ac:dyDescent="0.15">
      <c r="A25" t="s">
        <v>27</v>
      </c>
      <c r="B25" t="s">
        <v>21</v>
      </c>
      <c r="C25">
        <v>8.9598142857142893</v>
      </c>
      <c r="D25">
        <v>10.2918857142857</v>
      </c>
      <c r="E25">
        <v>11.4895285714286</v>
      </c>
      <c r="F25">
        <v>11.385942857142901</v>
      </c>
      <c r="G25">
        <v>42.127171428571401</v>
      </c>
      <c r="I25" t="s">
        <v>27</v>
      </c>
      <c r="J25" t="s">
        <v>21</v>
      </c>
      <c r="K25" t="s">
        <v>27</v>
      </c>
      <c r="L25" t="s">
        <v>21</v>
      </c>
      <c r="M25" s="7">
        <v>21.268492476182701</v>
      </c>
      <c r="N25" s="7">
        <v>24.430516850000402</v>
      </c>
      <c r="O25" s="7">
        <v>27.273439402191102</v>
      </c>
      <c r="P25" s="7">
        <v>27.0275512716258</v>
      </c>
      <c r="Q25" s="88"/>
      <c r="R25" s="88"/>
      <c r="S25" s="88"/>
      <c r="T25" s="88"/>
      <c r="AN25" t="s">
        <v>27</v>
      </c>
      <c r="AO25" t="s">
        <v>21</v>
      </c>
      <c r="AP25">
        <v>8.9598142857142893</v>
      </c>
      <c r="AQ25">
        <v>10.2918857142857</v>
      </c>
      <c r="AR25">
        <v>11.4895285714286</v>
      </c>
      <c r="AS25">
        <v>11.385942857142901</v>
      </c>
      <c r="AT25">
        <v>42.127171428571401</v>
      </c>
      <c r="AU25" s="88"/>
    </row>
    <row r="26" spans="1:47" x14ac:dyDescent="0.15">
      <c r="A26" t="s">
        <v>27</v>
      </c>
      <c r="B26" t="s">
        <v>23</v>
      </c>
      <c r="C26">
        <v>8.1067671428571408</v>
      </c>
      <c r="D26">
        <v>15.5895714285714</v>
      </c>
      <c r="E26">
        <v>23.776528571428599</v>
      </c>
      <c r="F26">
        <v>16.382742857142901</v>
      </c>
      <c r="G26">
        <v>63.855609999999999</v>
      </c>
      <c r="I26" t="s">
        <v>27</v>
      </c>
      <c r="J26" t="s">
        <v>23</v>
      </c>
      <c r="K26" t="s">
        <v>27</v>
      </c>
      <c r="L26" t="s">
        <v>23</v>
      </c>
      <c r="M26" s="7">
        <v>12.695465821808201</v>
      </c>
      <c r="N26" s="7">
        <v>24.4137851452228</v>
      </c>
      <c r="O26" s="7">
        <v>37.234831162725698</v>
      </c>
      <c r="P26" s="7">
        <v>25.6559178702433</v>
      </c>
      <c r="Q26" s="88"/>
      <c r="R26" s="88"/>
      <c r="S26" s="88"/>
      <c r="T26" s="88"/>
      <c r="AN26" t="s">
        <v>27</v>
      </c>
      <c r="AO26" t="s">
        <v>23</v>
      </c>
      <c r="AP26">
        <v>8.1067671428571408</v>
      </c>
      <c r="AQ26">
        <v>15.5895714285714</v>
      </c>
      <c r="AR26">
        <v>23.776528571428599</v>
      </c>
      <c r="AS26">
        <v>16.382742857142901</v>
      </c>
      <c r="AT26">
        <v>63.855609999999999</v>
      </c>
      <c r="AU26" s="88"/>
    </row>
    <row r="27" spans="1:47" x14ac:dyDescent="0.15">
      <c r="A27" t="s">
        <v>27</v>
      </c>
      <c r="B27" t="s">
        <v>19</v>
      </c>
      <c r="C27">
        <v>2.5415142857142898</v>
      </c>
      <c r="D27">
        <v>2.2743428571428601</v>
      </c>
      <c r="E27">
        <v>5.1060571428571402</v>
      </c>
      <c r="F27">
        <v>5.8593571428571396</v>
      </c>
      <c r="G27">
        <v>15.781271428571401</v>
      </c>
      <c r="I27" t="s">
        <v>27</v>
      </c>
      <c r="J27" t="s">
        <v>19</v>
      </c>
      <c r="K27" t="s">
        <v>27</v>
      </c>
      <c r="L27" t="s">
        <v>19</v>
      </c>
      <c r="M27" s="7">
        <v>16.104623111119999</v>
      </c>
      <c r="N27" s="7">
        <v>14.411657941737399</v>
      </c>
      <c r="O27" s="7">
        <v>32.355169645031303</v>
      </c>
      <c r="P27" s="7">
        <v>37.128549302111303</v>
      </c>
      <c r="Q27" s="89">
        <f>AVERAGE(M27:M29)</f>
        <v>15.058699157669032</v>
      </c>
      <c r="R27" s="89">
        <f>AVERAGE(N27:N29)</f>
        <v>13.788466651522265</v>
      </c>
      <c r="S27" s="89">
        <f>AVERAGE(O27:O29)</f>
        <v>34.568212071708139</v>
      </c>
      <c r="T27" s="89">
        <f>AVERAGE(P27:P29)</f>
        <v>36.584622119100572</v>
      </c>
      <c r="AN27" t="s">
        <v>27</v>
      </c>
      <c r="AO27" t="s">
        <v>19</v>
      </c>
      <c r="AP27">
        <v>2.5415142857142898</v>
      </c>
      <c r="AQ27">
        <v>2.2743428571428601</v>
      </c>
      <c r="AR27">
        <v>5.1060571428571402</v>
      </c>
      <c r="AS27">
        <v>5.8593571428571396</v>
      </c>
      <c r="AT27">
        <v>15.781271428571401</v>
      </c>
      <c r="AU27" s="89">
        <f>AVERAGE(AT27:AT29)</f>
        <v>23.219057142857135</v>
      </c>
    </row>
    <row r="28" spans="1:47" x14ac:dyDescent="0.15">
      <c r="A28" t="s">
        <v>27</v>
      </c>
      <c r="B28" t="s">
        <v>18</v>
      </c>
      <c r="C28">
        <v>4.2312428571428597</v>
      </c>
      <c r="D28">
        <v>3.6769857142857099</v>
      </c>
      <c r="E28">
        <v>8.02637142857143</v>
      </c>
      <c r="F28">
        <v>8.5161857142857205</v>
      </c>
      <c r="G28">
        <v>24.450785714285701</v>
      </c>
      <c r="I28" t="s">
        <v>27</v>
      </c>
      <c r="J28" t="s">
        <v>18</v>
      </c>
      <c r="K28" t="s">
        <v>27</v>
      </c>
      <c r="L28" t="s">
        <v>18</v>
      </c>
      <c r="M28" s="7">
        <v>17.3051406469555</v>
      </c>
      <c r="N28" s="7">
        <v>15.038313112929499</v>
      </c>
      <c r="O28" s="7">
        <v>32.826640102129403</v>
      </c>
      <c r="P28" s="7">
        <v>34.829906137985603</v>
      </c>
      <c r="Q28" s="89"/>
      <c r="R28" s="89"/>
      <c r="S28" s="89"/>
      <c r="T28" s="89"/>
      <c r="AN28" t="s">
        <v>27</v>
      </c>
      <c r="AO28" t="s">
        <v>18</v>
      </c>
      <c r="AP28">
        <v>4.2312428571428597</v>
      </c>
      <c r="AQ28">
        <v>3.6769857142857099</v>
      </c>
      <c r="AR28">
        <v>8.02637142857143</v>
      </c>
      <c r="AS28">
        <v>8.5161857142857205</v>
      </c>
      <c r="AT28">
        <v>24.450785714285701</v>
      </c>
      <c r="AU28" s="89"/>
    </row>
    <row r="29" spans="1:47" x14ac:dyDescent="0.15">
      <c r="A29" t="s">
        <v>27</v>
      </c>
      <c r="B29" t="s">
        <v>20</v>
      </c>
      <c r="C29">
        <v>3.46225714285714</v>
      </c>
      <c r="D29">
        <v>3.5061285714285702</v>
      </c>
      <c r="E29">
        <v>11.3353857142857</v>
      </c>
      <c r="F29">
        <v>11.121342857142899</v>
      </c>
      <c r="G29">
        <v>29.425114285714301</v>
      </c>
      <c r="I29" t="s">
        <v>27</v>
      </c>
      <c r="J29" t="s">
        <v>20</v>
      </c>
      <c r="K29" t="s">
        <v>27</v>
      </c>
      <c r="L29" t="s">
        <v>20</v>
      </c>
      <c r="M29" s="7">
        <v>11.7663337149316</v>
      </c>
      <c r="N29" s="7">
        <v>11.915428899899901</v>
      </c>
      <c r="O29" s="7">
        <v>38.522826467963696</v>
      </c>
      <c r="P29" s="7">
        <v>37.795410917204798</v>
      </c>
      <c r="Q29" s="89"/>
      <c r="R29" s="89"/>
      <c r="S29" s="89"/>
      <c r="T29" s="89"/>
      <c r="AN29" t="s">
        <v>27</v>
      </c>
      <c r="AO29" t="s">
        <v>20</v>
      </c>
      <c r="AP29">
        <v>3.46225714285714</v>
      </c>
      <c r="AQ29">
        <v>3.5061285714285702</v>
      </c>
      <c r="AR29">
        <v>11.3353857142857</v>
      </c>
      <c r="AS29">
        <v>11.121342857142899</v>
      </c>
      <c r="AT29">
        <v>29.425114285714301</v>
      </c>
      <c r="AU29" s="89"/>
    </row>
    <row r="69" spans="1:29" x14ac:dyDescent="0.15">
      <c r="A69" t="s">
        <v>24</v>
      </c>
      <c r="C69" t="s">
        <v>22</v>
      </c>
      <c r="D69" t="s">
        <v>21</v>
      </c>
      <c r="E69" t="s">
        <v>23</v>
      </c>
      <c r="F69" t="s">
        <v>19</v>
      </c>
      <c r="G69" t="s">
        <v>18</v>
      </c>
      <c r="J69" t="s">
        <v>20</v>
      </c>
      <c r="K69" t="s">
        <v>24</v>
      </c>
      <c r="M69" t="s">
        <v>22</v>
      </c>
      <c r="N69" t="s">
        <v>21</v>
      </c>
      <c r="O69" t="s">
        <v>23</v>
      </c>
      <c r="P69" t="s">
        <v>19</v>
      </c>
      <c r="T69" t="s">
        <v>18</v>
      </c>
      <c r="U69" t="s">
        <v>20</v>
      </c>
      <c r="V69" t="s">
        <v>24</v>
      </c>
      <c r="X69" t="s">
        <v>21</v>
      </c>
      <c r="Y69" t="s">
        <v>23</v>
      </c>
      <c r="Z69" t="s">
        <v>19</v>
      </c>
      <c r="AA69" t="s">
        <v>18</v>
      </c>
      <c r="AB69" t="s">
        <v>20</v>
      </c>
      <c r="AC69" t="s">
        <v>24</v>
      </c>
    </row>
    <row r="70" spans="1:29" x14ac:dyDescent="0.15">
      <c r="A70">
        <v>27.576674705035</v>
      </c>
      <c r="C70">
        <v>9.8199194205081302</v>
      </c>
      <c r="D70">
        <v>11.700106499146999</v>
      </c>
      <c r="E70">
        <v>11.145170224551499</v>
      </c>
      <c r="F70">
        <v>11.0912594338542</v>
      </c>
      <c r="G70">
        <v>11.638047795653501</v>
      </c>
      <c r="J70">
        <v>9.8041001503372094</v>
      </c>
      <c r="K70">
        <v>25.1770914369582</v>
      </c>
      <c r="M70">
        <v>9.3576158981823703</v>
      </c>
      <c r="N70">
        <v>12.3994996174467</v>
      </c>
      <c r="O70">
        <v>12.9133543860989</v>
      </c>
      <c r="P70">
        <v>10.350995364967099</v>
      </c>
      <c r="T70">
        <v>11.5757611099885</v>
      </c>
      <c r="U70">
        <v>4.4008036646557898</v>
      </c>
      <c r="V70">
        <v>34.739215842706599</v>
      </c>
      <c r="X70">
        <v>21.268492476182601</v>
      </c>
      <c r="Y70">
        <v>12.695465821808201</v>
      </c>
      <c r="Z70">
        <v>16.104623111119999</v>
      </c>
      <c r="AA70">
        <v>17.3051406469556</v>
      </c>
      <c r="AB70">
        <v>11.7663337149315</v>
      </c>
      <c r="AC70">
        <v>32.255963886131802</v>
      </c>
    </row>
    <row r="71" spans="1:29" x14ac:dyDescent="0.15">
      <c r="A71">
        <v>22.484665058992999</v>
      </c>
      <c r="C71">
        <v>19.213979427033799</v>
      </c>
      <c r="D71">
        <v>19.572428979013999</v>
      </c>
      <c r="E71">
        <v>23.003749627167799</v>
      </c>
      <c r="F71">
        <v>14.6433912118348</v>
      </c>
      <c r="G71">
        <v>15.8091203550425</v>
      </c>
      <c r="J71">
        <v>18.7418679571513</v>
      </c>
      <c r="K71">
        <v>19.535380593004898</v>
      </c>
      <c r="M71">
        <v>47.563215342203897</v>
      </c>
      <c r="N71">
        <v>43.234399020891601</v>
      </c>
      <c r="O71">
        <v>50.032065248527303</v>
      </c>
      <c r="P71">
        <v>43.883824068825298</v>
      </c>
      <c r="T71">
        <v>44.519967397952499</v>
      </c>
      <c r="U71">
        <v>47.844365660537697</v>
      </c>
      <c r="V71">
        <v>33.244645091750201</v>
      </c>
      <c r="X71">
        <v>24.430516850000402</v>
      </c>
      <c r="Y71">
        <v>24.4137851452228</v>
      </c>
      <c r="Z71">
        <v>14.4116579417375</v>
      </c>
      <c r="AA71">
        <v>15.0383131129294</v>
      </c>
      <c r="AB71">
        <v>11.915428899899901</v>
      </c>
      <c r="AC71">
        <v>23.1748968265263</v>
      </c>
    </row>
    <row r="72" spans="1:29" x14ac:dyDescent="0.15">
      <c r="A72">
        <v>23.637982099794399</v>
      </c>
      <c r="C72">
        <v>39.638584418047699</v>
      </c>
      <c r="D72">
        <v>35.267636742318203</v>
      </c>
      <c r="E72">
        <v>37.022753419404303</v>
      </c>
      <c r="F72">
        <v>38.560916707006797</v>
      </c>
      <c r="G72">
        <v>37.456262177876397</v>
      </c>
      <c r="J72">
        <v>37.944087092702397</v>
      </c>
      <c r="K72">
        <v>28.9670615220512</v>
      </c>
      <c r="M72">
        <v>18.0658917080512</v>
      </c>
      <c r="N72">
        <v>16.170214130108</v>
      </c>
      <c r="O72">
        <v>14.8693519069882</v>
      </c>
      <c r="P72">
        <v>13.0725265930842</v>
      </c>
      <c r="T72">
        <v>20.458191671288901</v>
      </c>
      <c r="U72">
        <v>15.0663900629067</v>
      </c>
      <c r="V72">
        <v>11.666455592743</v>
      </c>
      <c r="X72">
        <v>27.273439402191102</v>
      </c>
      <c r="Y72">
        <v>37.234831162725698</v>
      </c>
      <c r="Z72">
        <v>32.355169645031303</v>
      </c>
      <c r="AA72">
        <v>32.826640102129304</v>
      </c>
      <c r="AB72">
        <v>38.522826467963597</v>
      </c>
      <c r="AC72">
        <v>21.7311887421573</v>
      </c>
    </row>
    <row r="73" spans="1:29" x14ac:dyDescent="0.15">
      <c r="A73">
        <v>26.300678136177599</v>
      </c>
      <c r="C73">
        <v>31.327516734410398</v>
      </c>
      <c r="D73">
        <v>33.4598277795209</v>
      </c>
      <c r="E73">
        <v>28.828326728876402</v>
      </c>
      <c r="F73">
        <v>35.704432647304301</v>
      </c>
      <c r="G73">
        <v>35.096569671427602</v>
      </c>
      <c r="J73">
        <v>33.509944799809098</v>
      </c>
      <c r="K73">
        <v>26.320466447985801</v>
      </c>
      <c r="M73">
        <v>25.0132770515625</v>
      </c>
      <c r="N73">
        <v>28.195887231553701</v>
      </c>
      <c r="O73">
        <v>22.185228458385499</v>
      </c>
      <c r="P73">
        <v>32.692653973123498</v>
      </c>
      <c r="T73">
        <v>23.446079820770102</v>
      </c>
      <c r="U73">
        <v>32.6884406118998</v>
      </c>
      <c r="V73">
        <v>20.349683472800201</v>
      </c>
      <c r="X73">
        <v>27.027551271625899</v>
      </c>
      <c r="Y73">
        <v>25.6559178702433</v>
      </c>
      <c r="Z73">
        <v>37.128549302111303</v>
      </c>
      <c r="AA73">
        <v>34.829906137985603</v>
      </c>
      <c r="AB73">
        <v>37.795410917204997</v>
      </c>
      <c r="AC73">
        <v>22.8379505451847</v>
      </c>
    </row>
  </sheetData>
  <mergeCells count="40">
    <mergeCell ref="Q27:Q29"/>
    <mergeCell ref="R27:R29"/>
    <mergeCell ref="S27:S29"/>
    <mergeCell ref="T27:T29"/>
    <mergeCell ref="AU27:AU29"/>
    <mergeCell ref="Q24:Q26"/>
    <mergeCell ref="R24:R26"/>
    <mergeCell ref="S24:S26"/>
    <mergeCell ref="T24:T26"/>
    <mergeCell ref="AU24:AU26"/>
    <mergeCell ref="Q20:Q22"/>
    <mergeCell ref="R20:R22"/>
    <mergeCell ref="S20:S22"/>
    <mergeCell ref="T20:T22"/>
    <mergeCell ref="AU20:AU22"/>
    <mergeCell ref="Q17:Q19"/>
    <mergeCell ref="R17:R19"/>
    <mergeCell ref="S17:S19"/>
    <mergeCell ref="T17:T19"/>
    <mergeCell ref="AU17:AU19"/>
    <mergeCell ref="Q13:Q15"/>
    <mergeCell ref="R13:R15"/>
    <mergeCell ref="S13:S15"/>
    <mergeCell ref="T13:T15"/>
    <mergeCell ref="AU13:AU15"/>
    <mergeCell ref="Q10:Q12"/>
    <mergeCell ref="R10:R12"/>
    <mergeCell ref="S10:S12"/>
    <mergeCell ref="T10:T12"/>
    <mergeCell ref="AU10:AU12"/>
    <mergeCell ref="Q6:Q8"/>
    <mergeCell ref="R6:R8"/>
    <mergeCell ref="S6:S8"/>
    <mergeCell ref="T6:T8"/>
    <mergeCell ref="AU6:AU8"/>
    <mergeCell ref="Q3:Q5"/>
    <mergeCell ref="R3:R5"/>
    <mergeCell ref="S3:S5"/>
    <mergeCell ref="T3:T5"/>
    <mergeCell ref="AU3:AU5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5"/>
  <sheetViews>
    <sheetView zoomScaleNormal="100" workbookViewId="0">
      <selection activeCell="E13" sqref="E13"/>
    </sheetView>
  </sheetViews>
  <sheetFormatPr defaultColWidth="8.76171875" defaultRowHeight="12.75" x14ac:dyDescent="0.15"/>
  <cols>
    <col min="15" max="16" width="6.60546875" customWidth="1"/>
    <col min="17" max="17" width="14.42578125" customWidth="1"/>
    <col min="20" max="20" width="9.3046875" customWidth="1"/>
    <col min="21" max="21" width="12.26953125" customWidth="1"/>
  </cols>
  <sheetData>
    <row r="1" spans="1:21" x14ac:dyDescent="0.15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O1" t="s">
        <v>0</v>
      </c>
      <c r="P1" t="s">
        <v>28</v>
      </c>
      <c r="Q1" t="s">
        <v>29</v>
      </c>
      <c r="R1" t="s">
        <v>30</v>
      </c>
      <c r="T1" t="s">
        <v>29</v>
      </c>
      <c r="U1" t="s">
        <v>31</v>
      </c>
    </row>
    <row r="2" spans="1:21" x14ac:dyDescent="0.15">
      <c r="A2" t="s">
        <v>17</v>
      </c>
      <c r="B2" t="s">
        <v>24</v>
      </c>
      <c r="C2">
        <v>17.093385714285699</v>
      </c>
      <c r="D2">
        <v>2.6813678351000202E-2</v>
      </c>
      <c r="E2">
        <v>0.48128403854388102</v>
      </c>
      <c r="F2">
        <v>0.19218217211015601</v>
      </c>
      <c r="G2">
        <v>0.29972011099496298</v>
      </c>
      <c r="H2">
        <v>0.42798121815821999</v>
      </c>
      <c r="I2">
        <v>2.2730655524559499E-2</v>
      </c>
      <c r="J2">
        <v>0.20785714285714299</v>
      </c>
      <c r="K2">
        <v>82.789500000000004</v>
      </c>
      <c r="L2">
        <v>129.27150681304701</v>
      </c>
      <c r="M2">
        <v>0.50809771689488104</v>
      </c>
      <c r="O2" t="s">
        <v>17</v>
      </c>
      <c r="P2">
        <v>1</v>
      </c>
      <c r="Q2" t="s">
        <v>6</v>
      </c>
      <c r="R2">
        <v>59.861361118119397</v>
      </c>
      <c r="S2">
        <v>1</v>
      </c>
      <c r="T2" t="s">
        <v>6</v>
      </c>
      <c r="U2">
        <v>52.873278954978304</v>
      </c>
    </row>
    <row r="3" spans="1:21" x14ac:dyDescent="0.15">
      <c r="A3" t="s">
        <v>17</v>
      </c>
      <c r="B3" t="s">
        <v>22</v>
      </c>
      <c r="C3">
        <v>45.674942857142902</v>
      </c>
      <c r="D3">
        <v>9.6720728859339397E-2</v>
      </c>
      <c r="E3">
        <v>0.55629654298508102</v>
      </c>
      <c r="F3">
        <v>0.18234328308967901</v>
      </c>
      <c r="G3">
        <v>0.26136017392523903</v>
      </c>
      <c r="H3">
        <v>0.45701386710816899</v>
      </c>
      <c r="I3">
        <v>2.770692222562E-2</v>
      </c>
      <c r="J3">
        <v>0.189285714285714</v>
      </c>
      <c r="K3">
        <v>58.035499999999999</v>
      </c>
      <c r="L3">
        <v>58.640830733416898</v>
      </c>
      <c r="M3">
        <v>0.55629654298508102</v>
      </c>
      <c r="O3" t="s">
        <v>17</v>
      </c>
      <c r="P3">
        <v>2</v>
      </c>
      <c r="Q3" t="s">
        <v>7</v>
      </c>
      <c r="R3">
        <v>47.6024023674196</v>
      </c>
      <c r="S3">
        <v>2</v>
      </c>
      <c r="T3" t="s">
        <v>7</v>
      </c>
      <c r="U3">
        <v>44.272307514365501</v>
      </c>
    </row>
    <row r="4" spans="1:21" x14ac:dyDescent="0.15">
      <c r="A4" t="s">
        <v>17</v>
      </c>
      <c r="B4" t="s">
        <v>21</v>
      </c>
      <c r="C4">
        <v>25.373257142857099</v>
      </c>
      <c r="D4">
        <v>5.6021908969734503E-2</v>
      </c>
      <c r="E4">
        <v>0.61123269302686201</v>
      </c>
      <c r="F4">
        <v>0.11723533244323001</v>
      </c>
      <c r="G4">
        <v>0.21551006556017299</v>
      </c>
      <c r="H4">
        <v>0.39345436523326699</v>
      </c>
      <c r="I4">
        <v>2.69316101394672E-2</v>
      </c>
      <c r="J4">
        <v>0.21071428571428599</v>
      </c>
      <c r="K4">
        <v>71.3193571428571</v>
      </c>
      <c r="L4">
        <v>101.092855077845</v>
      </c>
      <c r="M4">
        <v>0.66725460199659703</v>
      </c>
      <c r="O4" t="s">
        <v>17</v>
      </c>
      <c r="P4">
        <v>3</v>
      </c>
      <c r="Q4" t="s">
        <v>14</v>
      </c>
      <c r="R4">
        <v>19.760621766097501</v>
      </c>
      <c r="S4">
        <v>3</v>
      </c>
      <c r="T4" t="s">
        <v>14</v>
      </c>
      <c r="U4">
        <v>34.2965985744219</v>
      </c>
    </row>
    <row r="5" spans="1:21" x14ac:dyDescent="0.15">
      <c r="A5" t="s">
        <v>17</v>
      </c>
      <c r="B5" t="s">
        <v>23</v>
      </c>
      <c r="C5">
        <v>41.143785714285698</v>
      </c>
      <c r="D5">
        <v>0.125546094929016</v>
      </c>
      <c r="E5">
        <v>0.64163295733799697</v>
      </c>
      <c r="F5">
        <v>0.14271535418248901</v>
      </c>
      <c r="G5">
        <v>0.21565168847951399</v>
      </c>
      <c r="H5">
        <v>0.45533340301377601</v>
      </c>
      <c r="I5">
        <v>2.2875767025857498E-2</v>
      </c>
      <c r="J5">
        <v>0.27214285714285702</v>
      </c>
      <c r="K5">
        <v>85.252071428571398</v>
      </c>
      <c r="L5">
        <v>81.3508362369558</v>
      </c>
      <c r="M5">
        <v>0.64163295733799697</v>
      </c>
      <c r="O5" t="s">
        <v>17</v>
      </c>
      <c r="P5">
        <v>4</v>
      </c>
      <c r="Q5" t="s">
        <v>15</v>
      </c>
      <c r="R5">
        <v>33.092126662125501</v>
      </c>
      <c r="S5">
        <v>4</v>
      </c>
      <c r="T5" t="s">
        <v>15</v>
      </c>
      <c r="U5">
        <v>26.937529340684598</v>
      </c>
    </row>
    <row r="6" spans="1:21" x14ac:dyDescent="0.15">
      <c r="A6" t="s">
        <v>17</v>
      </c>
      <c r="B6" t="s">
        <v>19</v>
      </c>
      <c r="C6">
        <v>10.7103571428571</v>
      </c>
      <c r="D6">
        <v>0.10067685166344401</v>
      </c>
      <c r="E6">
        <v>0.53968836998800596</v>
      </c>
      <c r="F6">
        <v>0.124998636240996</v>
      </c>
      <c r="G6">
        <v>0.33531299377099799</v>
      </c>
      <c r="H6">
        <v>0.37163608988893299</v>
      </c>
      <c r="I6">
        <v>1.6463191134555501E-2</v>
      </c>
      <c r="J6">
        <v>0.14285714285714299</v>
      </c>
      <c r="K6">
        <v>79.361999999999995</v>
      </c>
      <c r="L6">
        <v>155.90042003774599</v>
      </c>
      <c r="M6">
        <v>0.53968836998800596</v>
      </c>
      <c r="O6" t="s">
        <v>17</v>
      </c>
      <c r="P6">
        <v>5</v>
      </c>
      <c r="Q6" t="s">
        <v>12</v>
      </c>
      <c r="R6">
        <v>18.4449805139723</v>
      </c>
      <c r="S6">
        <v>5</v>
      </c>
      <c r="T6" t="s">
        <v>12</v>
      </c>
      <c r="U6">
        <v>20.811089645042401</v>
      </c>
    </row>
    <row r="7" spans="1:21" x14ac:dyDescent="0.15">
      <c r="A7" t="s">
        <v>17</v>
      </c>
      <c r="B7" t="s">
        <v>18</v>
      </c>
      <c r="C7">
        <v>10.533957142857099</v>
      </c>
      <c r="D7">
        <v>0.11589010615872999</v>
      </c>
      <c r="E7">
        <v>0.56479789669076197</v>
      </c>
      <c r="F7">
        <v>0.20486377175013201</v>
      </c>
      <c r="G7">
        <v>0.23033833155910599</v>
      </c>
      <c r="H7">
        <v>0.34682353921986903</v>
      </c>
      <c r="I7">
        <v>1.9823764454774701E-2</v>
      </c>
      <c r="J7">
        <v>0.14928571428571399</v>
      </c>
      <c r="K7">
        <v>86.384642857142893</v>
      </c>
      <c r="L7">
        <v>164.48613051467501</v>
      </c>
      <c r="M7">
        <v>0.56479789669076197</v>
      </c>
      <c r="O7" t="s">
        <v>17</v>
      </c>
      <c r="P7">
        <v>6</v>
      </c>
      <c r="Q7" t="s">
        <v>8</v>
      </c>
      <c r="R7">
        <v>9.6085810091727506</v>
      </c>
      <c r="S7">
        <v>6</v>
      </c>
      <c r="T7" t="s">
        <v>8</v>
      </c>
      <c r="U7">
        <v>20.400102354161699</v>
      </c>
    </row>
    <row r="8" spans="1:21" x14ac:dyDescent="0.15">
      <c r="A8" t="s">
        <v>17</v>
      </c>
      <c r="B8" t="s">
        <v>20</v>
      </c>
      <c r="C8">
        <v>16.609628571428601</v>
      </c>
      <c r="D8">
        <v>4.2926651951386598E-2</v>
      </c>
      <c r="E8">
        <v>0.52238519994522803</v>
      </c>
      <c r="F8">
        <v>0.14477285009990201</v>
      </c>
      <c r="G8">
        <v>0.33284194995486999</v>
      </c>
      <c r="H8">
        <v>0.43916796649291601</v>
      </c>
      <c r="I8">
        <v>1.91946588383957E-2</v>
      </c>
      <c r="J8">
        <v>0.20285714285714301</v>
      </c>
      <c r="K8">
        <v>111.1785</v>
      </c>
      <c r="L8">
        <v>123.147838076678</v>
      </c>
      <c r="M8">
        <v>0.52238519994522803</v>
      </c>
      <c r="O8" t="s">
        <v>17</v>
      </c>
      <c r="P8">
        <v>7</v>
      </c>
      <c r="Q8" t="s">
        <v>13</v>
      </c>
      <c r="R8">
        <v>22.046282396202599</v>
      </c>
      <c r="S8">
        <v>7</v>
      </c>
      <c r="T8" t="s">
        <v>13</v>
      </c>
      <c r="U8">
        <v>20.307321386606102</v>
      </c>
    </row>
    <row r="9" spans="1:21" x14ac:dyDescent="0.15">
      <c r="A9" t="s">
        <v>25</v>
      </c>
      <c r="B9" t="s">
        <v>24</v>
      </c>
      <c r="C9">
        <v>3.42102857142857</v>
      </c>
      <c r="D9">
        <v>8.5326761720075306E-2</v>
      </c>
      <c r="E9">
        <v>0.29267300243094302</v>
      </c>
      <c r="F9">
        <v>0.32062732432275198</v>
      </c>
      <c r="G9">
        <v>0.30137291152622903</v>
      </c>
      <c r="H9">
        <v>0.39736828237228999</v>
      </c>
      <c r="I9">
        <v>1.25459660968496E-2</v>
      </c>
      <c r="J9">
        <v>0.111428571428571</v>
      </c>
      <c r="K9">
        <v>19.183357142857101</v>
      </c>
      <c r="L9">
        <v>202.44047205254699</v>
      </c>
      <c r="M9">
        <v>0.37799976415101799</v>
      </c>
      <c r="O9" t="s">
        <v>17</v>
      </c>
      <c r="P9">
        <v>8</v>
      </c>
      <c r="Q9" t="s">
        <v>16</v>
      </c>
      <c r="R9">
        <v>10.549961084511001</v>
      </c>
      <c r="S9">
        <v>8</v>
      </c>
      <c r="T9" t="s">
        <v>16</v>
      </c>
      <c r="U9">
        <v>19.450443732563802</v>
      </c>
    </row>
    <row r="10" spans="1:21" x14ac:dyDescent="0.15">
      <c r="A10" t="s">
        <v>25</v>
      </c>
      <c r="B10" t="s">
        <v>22</v>
      </c>
      <c r="C10">
        <v>8.3249714285714305</v>
      </c>
      <c r="D10">
        <v>9.4908941307022807E-2</v>
      </c>
      <c r="E10">
        <v>0.38261008341480501</v>
      </c>
      <c r="F10">
        <v>0.29079451899716802</v>
      </c>
      <c r="G10">
        <v>0.32659539758802703</v>
      </c>
      <c r="H10">
        <v>0.37159510393205503</v>
      </c>
      <c r="I10">
        <v>1.7240116015878399E-2</v>
      </c>
      <c r="J10">
        <v>0.127857142857143</v>
      </c>
      <c r="K10">
        <v>38.798071428571397</v>
      </c>
      <c r="L10">
        <v>177.41875963082001</v>
      </c>
      <c r="M10">
        <v>0.38261008341480501</v>
      </c>
      <c r="O10" t="s">
        <v>17</v>
      </c>
      <c r="P10">
        <v>9</v>
      </c>
      <c r="Q10" t="s">
        <v>10</v>
      </c>
      <c r="R10">
        <v>19.5138265546993</v>
      </c>
      <c r="S10">
        <v>9</v>
      </c>
      <c r="T10" t="s">
        <v>10</v>
      </c>
      <c r="U10">
        <v>16.972572552761498</v>
      </c>
    </row>
    <row r="11" spans="1:21" x14ac:dyDescent="0.15">
      <c r="A11" t="s">
        <v>25</v>
      </c>
      <c r="B11" t="s">
        <v>21</v>
      </c>
      <c r="C11">
        <v>9.8357428571428596</v>
      </c>
      <c r="D11">
        <v>0.40791747037438703</v>
      </c>
      <c r="E11">
        <v>0.59011069763367796</v>
      </c>
      <c r="F11">
        <v>0.18221457535753399</v>
      </c>
      <c r="G11">
        <v>0.22767472700878799</v>
      </c>
      <c r="H11">
        <v>0.45954785797814401</v>
      </c>
      <c r="I11">
        <v>1.5006830338767801E-2</v>
      </c>
      <c r="J11">
        <v>0.14571428571428599</v>
      </c>
      <c r="K11">
        <v>35.600285714285697</v>
      </c>
      <c r="L11">
        <v>137.40282668453901</v>
      </c>
      <c r="M11">
        <v>0.561771158122084</v>
      </c>
      <c r="O11" t="s">
        <v>17</v>
      </c>
      <c r="P11">
        <v>10</v>
      </c>
      <c r="Q11" t="s">
        <v>9</v>
      </c>
      <c r="R11">
        <v>21.734167689599499</v>
      </c>
      <c r="S11">
        <v>10</v>
      </c>
      <c r="T11" t="s">
        <v>9</v>
      </c>
      <c r="U11">
        <v>14.9664731706502</v>
      </c>
    </row>
    <row r="12" spans="1:21" x14ac:dyDescent="0.15">
      <c r="A12" t="s">
        <v>25</v>
      </c>
      <c r="B12" t="s">
        <v>23</v>
      </c>
      <c r="C12">
        <v>7.6405428571428597</v>
      </c>
      <c r="D12">
        <v>0.191800046639757</v>
      </c>
      <c r="E12">
        <v>0.41344098593177703</v>
      </c>
      <c r="F12">
        <v>0.27251421351975702</v>
      </c>
      <c r="G12">
        <v>0.31404480054846701</v>
      </c>
      <c r="H12">
        <v>0.46630970152934098</v>
      </c>
      <c r="I12">
        <v>1.2167889483474401E-2</v>
      </c>
      <c r="J12">
        <v>0.14071428571428601</v>
      </c>
      <c r="K12">
        <v>33.543999999999997</v>
      </c>
      <c r="L12">
        <v>161.34941851182401</v>
      </c>
      <c r="M12">
        <v>0.41344098593177703</v>
      </c>
      <c r="O12" t="s">
        <v>17</v>
      </c>
      <c r="P12">
        <v>11</v>
      </c>
      <c r="Q12" t="s">
        <v>11</v>
      </c>
      <c r="R12">
        <v>10.418043059277201</v>
      </c>
      <c r="S12">
        <v>11</v>
      </c>
      <c r="T12" t="s">
        <v>11</v>
      </c>
      <c r="U12">
        <v>12.1920598047403</v>
      </c>
    </row>
    <row r="13" spans="1:21" x14ac:dyDescent="0.15">
      <c r="A13" t="s">
        <v>25</v>
      </c>
      <c r="B13" t="s">
        <v>19</v>
      </c>
      <c r="C13">
        <v>7.2645428571428603</v>
      </c>
      <c r="D13">
        <v>5.3771213350002699E-2</v>
      </c>
      <c r="E13">
        <v>0.22710700903280701</v>
      </c>
      <c r="F13">
        <v>0.34097668973912398</v>
      </c>
      <c r="G13">
        <v>0.43191630122806901</v>
      </c>
      <c r="H13">
        <v>0.374691706949007</v>
      </c>
      <c r="I13">
        <v>1.8270996860049401E-2</v>
      </c>
      <c r="J13">
        <v>0.13142857142857101</v>
      </c>
      <c r="K13">
        <v>84.300857142857097</v>
      </c>
      <c r="L13">
        <v>215.67652984185301</v>
      </c>
      <c r="M13">
        <v>0.22710700903280701</v>
      </c>
      <c r="O13" t="s">
        <v>25</v>
      </c>
      <c r="P13">
        <v>1</v>
      </c>
      <c r="Q13" t="s">
        <v>6</v>
      </c>
      <c r="R13">
        <v>32.310533941849698</v>
      </c>
    </row>
    <row r="14" spans="1:21" x14ac:dyDescent="0.15">
      <c r="A14" t="s">
        <v>25</v>
      </c>
      <c r="B14" t="s">
        <v>18</v>
      </c>
      <c r="C14">
        <v>4.9829142857142896</v>
      </c>
      <c r="D14">
        <v>9.0056455669146607E-2</v>
      </c>
      <c r="E14">
        <v>0.25666590305686698</v>
      </c>
      <c r="F14">
        <v>0.28866577237179802</v>
      </c>
      <c r="G14">
        <v>0.45466832457133499</v>
      </c>
      <c r="H14">
        <v>0.35910924489789697</v>
      </c>
      <c r="I14">
        <v>1.7739362361376899E-2</v>
      </c>
      <c r="J14">
        <v>0.123571428571429</v>
      </c>
      <c r="K14">
        <v>68.616642857142907</v>
      </c>
      <c r="L14">
        <v>232.295863735658</v>
      </c>
      <c r="M14">
        <v>0.25666590305686698</v>
      </c>
      <c r="O14" t="s">
        <v>25</v>
      </c>
      <c r="P14">
        <v>2</v>
      </c>
      <c r="Q14" t="s">
        <v>7</v>
      </c>
      <c r="R14">
        <v>87.649823228461798</v>
      </c>
    </row>
    <row r="15" spans="1:21" x14ac:dyDescent="0.15">
      <c r="A15" t="s">
        <v>25</v>
      </c>
      <c r="B15" t="s">
        <v>20</v>
      </c>
      <c r="C15">
        <v>5.6768999999999998</v>
      </c>
      <c r="D15">
        <v>7.4220860308871206E-2</v>
      </c>
      <c r="E15">
        <v>0.25881483013114898</v>
      </c>
      <c r="F15">
        <v>0.32545556054659402</v>
      </c>
      <c r="G15">
        <v>0.415729609322256</v>
      </c>
      <c r="H15">
        <v>0.35488234754632603</v>
      </c>
      <c r="I15">
        <v>2.2029300379486701E-2</v>
      </c>
      <c r="J15">
        <v>0.10357142857142899</v>
      </c>
      <c r="K15">
        <v>82.783642857142894</v>
      </c>
      <c r="L15">
        <v>223.875559334586</v>
      </c>
      <c r="M15">
        <v>0.25881483013114898</v>
      </c>
      <c r="O15" t="s">
        <v>25</v>
      </c>
      <c r="P15">
        <v>3</v>
      </c>
      <c r="Q15" t="s">
        <v>14</v>
      </c>
      <c r="R15">
        <v>50.603041189068101</v>
      </c>
    </row>
    <row r="16" spans="1:21" x14ac:dyDescent="0.15">
      <c r="A16" t="s">
        <v>26</v>
      </c>
      <c r="B16" t="s">
        <v>24</v>
      </c>
      <c r="C16">
        <v>17.9158785714286</v>
      </c>
      <c r="D16">
        <v>8.3380156440463996E-2</v>
      </c>
      <c r="E16">
        <v>0.23908874928908899</v>
      </c>
      <c r="F16">
        <v>0.366940870366191</v>
      </c>
      <c r="G16">
        <v>0.310590223904256</v>
      </c>
      <c r="H16">
        <v>0.459616950119346</v>
      </c>
      <c r="I16">
        <v>8.0554422651629293E-3</v>
      </c>
      <c r="J16">
        <v>0.159285714285714</v>
      </c>
      <c r="K16">
        <v>61.7345714285714</v>
      </c>
      <c r="L16">
        <v>115.654575159586</v>
      </c>
      <c r="M16">
        <v>0.322468905729553</v>
      </c>
      <c r="O16" t="s">
        <v>25</v>
      </c>
      <c r="P16">
        <v>4</v>
      </c>
      <c r="Q16" t="s">
        <v>15</v>
      </c>
      <c r="R16">
        <v>18.248232682725401</v>
      </c>
    </row>
    <row r="17" spans="1:18" x14ac:dyDescent="0.15">
      <c r="A17" t="s">
        <v>26</v>
      </c>
      <c r="B17" t="s">
        <v>22</v>
      </c>
      <c r="C17">
        <v>66.507528571428594</v>
      </c>
      <c r="D17">
        <v>9.7519456058914405E-2</v>
      </c>
      <c r="E17">
        <v>0.28595991459457198</v>
      </c>
      <c r="F17">
        <v>0.39646920508635602</v>
      </c>
      <c r="G17">
        <v>0.31757088031907199</v>
      </c>
      <c r="H17">
        <v>0.49066085830168399</v>
      </c>
      <c r="I17">
        <v>1.44399666927156E-2</v>
      </c>
      <c r="J17">
        <v>0.26071428571428601</v>
      </c>
      <c r="K17">
        <v>101.20578571428599</v>
      </c>
      <c r="L17">
        <v>85.1914927282847</v>
      </c>
      <c r="M17">
        <v>0.28595991459457198</v>
      </c>
      <c r="O17" t="s">
        <v>25</v>
      </c>
      <c r="P17">
        <v>5</v>
      </c>
      <c r="Q17" t="s">
        <v>12</v>
      </c>
      <c r="R17">
        <v>21.1426143835074</v>
      </c>
    </row>
    <row r="18" spans="1:18" x14ac:dyDescent="0.15">
      <c r="A18" t="s">
        <v>26</v>
      </c>
      <c r="B18" t="s">
        <v>21</v>
      </c>
      <c r="C18">
        <v>63.514928571428598</v>
      </c>
      <c r="D18">
        <v>0.117588221011966</v>
      </c>
      <c r="E18">
        <v>0.31566411516612802</v>
      </c>
      <c r="F18">
        <v>0.350776635968923</v>
      </c>
      <c r="G18">
        <v>0.33355924886494998</v>
      </c>
      <c r="H18">
        <v>0.52299487975650305</v>
      </c>
      <c r="I18">
        <v>1.54594567367006E-2</v>
      </c>
      <c r="J18">
        <v>0.218571428571429</v>
      </c>
      <c r="K18">
        <v>89.076142857142898</v>
      </c>
      <c r="L18">
        <v>93.249590208273702</v>
      </c>
      <c r="M18">
        <v>0.31566411516612802</v>
      </c>
      <c r="O18" t="s">
        <v>25</v>
      </c>
      <c r="P18">
        <v>6</v>
      </c>
      <c r="Q18" t="s">
        <v>8</v>
      </c>
      <c r="R18">
        <v>36.953268928024301</v>
      </c>
    </row>
    <row r="19" spans="1:18" x14ac:dyDescent="0.15">
      <c r="A19" t="s">
        <v>26</v>
      </c>
      <c r="B19" t="s">
        <v>23</v>
      </c>
      <c r="C19">
        <v>33.527142857142898</v>
      </c>
      <c r="D19">
        <v>0.11598395677001</v>
      </c>
      <c r="E19">
        <v>0.34278439785122</v>
      </c>
      <c r="F19">
        <v>0.36400137481986</v>
      </c>
      <c r="G19">
        <v>0.29321422732892</v>
      </c>
      <c r="H19">
        <v>0.50228501268461401</v>
      </c>
      <c r="I19">
        <v>9.6024015036608908E-3</v>
      </c>
      <c r="J19">
        <v>0.221428571428571</v>
      </c>
      <c r="K19">
        <v>52.5567142857143</v>
      </c>
      <c r="L19">
        <v>94.132014433532305</v>
      </c>
      <c r="M19">
        <v>0.34278439785122</v>
      </c>
      <c r="O19" t="s">
        <v>25</v>
      </c>
      <c r="P19">
        <v>7</v>
      </c>
      <c r="Q19" t="s">
        <v>13</v>
      </c>
      <c r="R19">
        <v>11.9117536790071</v>
      </c>
    </row>
    <row r="20" spans="1:18" x14ac:dyDescent="0.15">
      <c r="A20" t="s">
        <v>26</v>
      </c>
      <c r="B20" t="s">
        <v>19</v>
      </c>
      <c r="C20">
        <v>21.1888857142857</v>
      </c>
      <c r="D20">
        <v>0.109868415583664</v>
      </c>
      <c r="E20">
        <v>0.25553491540537498</v>
      </c>
      <c r="F20">
        <v>0.38256618130896097</v>
      </c>
      <c r="G20">
        <v>0.36189890328566399</v>
      </c>
      <c r="H20">
        <v>0.39325269312488897</v>
      </c>
      <c r="I20">
        <v>9.4238475900429493E-3</v>
      </c>
      <c r="J20">
        <v>0.161428571428571</v>
      </c>
      <c r="K20">
        <v>99.017357142857094</v>
      </c>
      <c r="L20">
        <v>169.46814096241599</v>
      </c>
      <c r="M20">
        <v>0.25553491540537498</v>
      </c>
      <c r="O20" t="s">
        <v>25</v>
      </c>
      <c r="P20">
        <v>8</v>
      </c>
      <c r="Q20" t="s">
        <v>16</v>
      </c>
      <c r="R20">
        <v>33.165575824397798</v>
      </c>
    </row>
    <row r="21" spans="1:18" x14ac:dyDescent="0.15">
      <c r="A21" t="s">
        <v>26</v>
      </c>
      <c r="B21" t="s">
        <v>18</v>
      </c>
      <c r="C21">
        <v>34.553291428571399</v>
      </c>
      <c r="D21">
        <v>0.120540082745886</v>
      </c>
      <c r="E21">
        <v>0.28053631395488399</v>
      </c>
      <c r="F21">
        <v>0.36571801114916402</v>
      </c>
      <c r="G21">
        <v>0.35374567489595199</v>
      </c>
      <c r="H21">
        <v>0.45247194752715197</v>
      </c>
      <c r="I21">
        <v>1.2745670031430199E-2</v>
      </c>
      <c r="J21">
        <v>0.16357142857142901</v>
      </c>
      <c r="K21">
        <v>99.095500000000001</v>
      </c>
      <c r="L21">
        <v>129.906687853281</v>
      </c>
      <c r="M21">
        <v>0.28053631395488399</v>
      </c>
      <c r="O21" t="s">
        <v>25</v>
      </c>
      <c r="P21">
        <v>9</v>
      </c>
      <c r="Q21" t="s">
        <v>10</v>
      </c>
      <c r="R21">
        <v>23.432482803280699</v>
      </c>
    </row>
    <row r="22" spans="1:18" x14ac:dyDescent="0.15">
      <c r="A22" t="s">
        <v>26</v>
      </c>
      <c r="B22" t="s">
        <v>20</v>
      </c>
      <c r="C22">
        <v>25.880862857142901</v>
      </c>
      <c r="D22">
        <v>0.101290258240467</v>
      </c>
      <c r="E22">
        <v>0.288546542854759</v>
      </c>
      <c r="F22">
        <v>0.37772192276807898</v>
      </c>
      <c r="G22">
        <v>0.33373153437716202</v>
      </c>
      <c r="H22">
        <v>0.46284586527399901</v>
      </c>
      <c r="I22">
        <v>1.1016875044156599E-2</v>
      </c>
      <c r="J22">
        <v>0.20214285714285701</v>
      </c>
      <c r="K22">
        <v>66.473785714285697</v>
      </c>
      <c r="L22">
        <v>123.152283290062</v>
      </c>
      <c r="M22">
        <v>0.288546542854759</v>
      </c>
      <c r="O22" t="s">
        <v>25</v>
      </c>
      <c r="P22">
        <v>10</v>
      </c>
      <c r="Q22" t="s">
        <v>9</v>
      </c>
      <c r="R22">
        <v>18.275684839573302</v>
      </c>
    </row>
    <row r="23" spans="1:18" x14ac:dyDescent="0.15">
      <c r="A23" t="s">
        <v>27</v>
      </c>
      <c r="B23" t="s">
        <v>24</v>
      </c>
      <c r="C23">
        <v>6.0925928571428596</v>
      </c>
      <c r="D23">
        <v>0.143592144848533</v>
      </c>
      <c r="E23">
        <v>0.32177227846395701</v>
      </c>
      <c r="F23">
        <v>0.25880313125009002</v>
      </c>
      <c r="G23">
        <v>0.27583244543742003</v>
      </c>
      <c r="H23">
        <v>0.42956489509749202</v>
      </c>
      <c r="I23">
        <v>2.5075324564021999E-2</v>
      </c>
      <c r="J23">
        <v>0.24214285714285699</v>
      </c>
      <c r="K23">
        <v>47.947357142857101</v>
      </c>
      <c r="L23">
        <v>153.024434628552</v>
      </c>
      <c r="M23">
        <v>0.46536442331248901</v>
      </c>
      <c r="O23" t="s">
        <v>25</v>
      </c>
      <c r="P23">
        <v>11</v>
      </c>
      <c r="Q23" t="s">
        <v>11</v>
      </c>
      <c r="R23">
        <v>11.735498488097599</v>
      </c>
    </row>
    <row r="24" spans="1:18" x14ac:dyDescent="0.15">
      <c r="A24" t="s">
        <v>27</v>
      </c>
      <c r="B24" t="s">
        <v>22</v>
      </c>
      <c r="C24">
        <v>70.625299999999996</v>
      </c>
      <c r="D24">
        <v>0.13821216401736999</v>
      </c>
      <c r="E24">
        <v>0.38877090534789299</v>
      </c>
      <c r="F24">
        <v>0.325312910937405</v>
      </c>
      <c r="G24">
        <v>0.28591618371470101</v>
      </c>
      <c r="H24">
        <v>0.35752353279795501</v>
      </c>
      <c r="I24">
        <v>4.9010960669181598E-2</v>
      </c>
      <c r="J24">
        <v>0.20357142857142899</v>
      </c>
      <c r="K24">
        <v>110.822571428571</v>
      </c>
      <c r="L24">
        <v>116.962371777662</v>
      </c>
      <c r="M24">
        <v>0.38877090534789299</v>
      </c>
      <c r="O24" t="s">
        <v>26</v>
      </c>
      <c r="P24">
        <v>1</v>
      </c>
      <c r="Q24" t="s">
        <v>6</v>
      </c>
      <c r="R24">
        <v>52.401016254939996</v>
      </c>
    </row>
    <row r="25" spans="1:18" x14ac:dyDescent="0.15">
      <c r="A25" t="s">
        <v>27</v>
      </c>
      <c r="B25" t="s">
        <v>21</v>
      </c>
      <c r="C25">
        <v>42.127171428571401</v>
      </c>
      <c r="D25">
        <v>0.26342332481470498</v>
      </c>
      <c r="E25">
        <v>0.49585590164082799</v>
      </c>
      <c r="F25">
        <v>0.24417060037247901</v>
      </c>
      <c r="G25">
        <v>0.259973497986692</v>
      </c>
      <c r="H25">
        <v>0.34868581748407401</v>
      </c>
      <c r="I25">
        <v>4.1088863935310201E-2</v>
      </c>
      <c r="J25">
        <v>0.21</v>
      </c>
      <c r="K25">
        <v>121.212357142857</v>
      </c>
      <c r="L25">
        <v>117.691842947653</v>
      </c>
      <c r="M25">
        <v>0.49585590164082799</v>
      </c>
      <c r="O25" t="s">
        <v>26</v>
      </c>
      <c r="P25">
        <v>2</v>
      </c>
      <c r="Q25" t="s">
        <v>7</v>
      </c>
      <c r="R25">
        <v>12.4904274948988</v>
      </c>
    </row>
    <row r="26" spans="1:18" x14ac:dyDescent="0.15">
      <c r="A26" t="s">
        <v>27</v>
      </c>
      <c r="B26" t="s">
        <v>23</v>
      </c>
      <c r="C26">
        <v>63.855609999999999</v>
      </c>
      <c r="D26">
        <v>0.131182955830143</v>
      </c>
      <c r="E26">
        <v>0.37356458580503099</v>
      </c>
      <c r="F26">
        <v>0.370154872115666</v>
      </c>
      <c r="G26">
        <v>0.25628054207930301</v>
      </c>
      <c r="H26">
        <v>0.37616564329910201</v>
      </c>
      <c r="I26">
        <v>4.4757133826937398E-2</v>
      </c>
      <c r="J26">
        <v>0.23</v>
      </c>
      <c r="K26">
        <v>98.032642857142903</v>
      </c>
      <c r="L26">
        <v>115.14568688477</v>
      </c>
      <c r="M26">
        <v>0.37356458580503099</v>
      </c>
      <c r="O26" t="s">
        <v>26</v>
      </c>
      <c r="P26">
        <v>3</v>
      </c>
      <c r="Q26" t="s">
        <v>14</v>
      </c>
      <c r="R26">
        <v>25.185547656647302</v>
      </c>
    </row>
    <row r="27" spans="1:18" x14ac:dyDescent="0.15">
      <c r="A27" t="s">
        <v>27</v>
      </c>
      <c r="B27" t="s">
        <v>19</v>
      </c>
      <c r="C27">
        <v>15.781271428571401</v>
      </c>
      <c r="D27">
        <v>0.16942982106115601</v>
      </c>
      <c r="E27">
        <v>0.30988730025068201</v>
      </c>
      <c r="F27">
        <v>0.31753373764769599</v>
      </c>
      <c r="G27">
        <v>0.372578962101622</v>
      </c>
      <c r="H27">
        <v>0.283044496692471</v>
      </c>
      <c r="I27">
        <v>3.4385945906721602E-2</v>
      </c>
      <c r="J27">
        <v>0.16357142857142901</v>
      </c>
      <c r="K27">
        <v>123.14785714285701</v>
      </c>
      <c r="L27">
        <v>215.494590688534</v>
      </c>
      <c r="M27">
        <v>0.30988730025068201</v>
      </c>
      <c r="O27" t="s">
        <v>26</v>
      </c>
      <c r="P27">
        <v>4</v>
      </c>
      <c r="Q27" t="s">
        <v>15</v>
      </c>
      <c r="R27">
        <v>25.043966273632201</v>
      </c>
    </row>
    <row r="28" spans="1:18" x14ac:dyDescent="0.15">
      <c r="A28" t="s">
        <v>27</v>
      </c>
      <c r="B28" t="s">
        <v>18</v>
      </c>
      <c r="C28">
        <v>24.450785714285701</v>
      </c>
      <c r="D28">
        <v>0.17076901525583901</v>
      </c>
      <c r="E28">
        <v>0.31842362561412901</v>
      </c>
      <c r="F28">
        <v>0.32834146486195498</v>
      </c>
      <c r="G28">
        <v>0.35323490952391601</v>
      </c>
      <c r="H28">
        <v>0.27152841836922298</v>
      </c>
      <c r="I28">
        <v>4.1524405291899699E-2</v>
      </c>
      <c r="J28">
        <v>0.11714285714285699</v>
      </c>
      <c r="K28">
        <v>192.405857142857</v>
      </c>
      <c r="L28">
        <v>200.470895712718</v>
      </c>
      <c r="M28">
        <v>0.31842362561412901</v>
      </c>
      <c r="O28" t="s">
        <v>26</v>
      </c>
      <c r="P28">
        <v>5</v>
      </c>
      <c r="Q28" t="s">
        <v>12</v>
      </c>
      <c r="R28">
        <v>23.971507812429898</v>
      </c>
    </row>
    <row r="29" spans="1:18" x14ac:dyDescent="0.15">
      <c r="A29" t="s">
        <v>27</v>
      </c>
      <c r="B29" t="s">
        <v>20</v>
      </c>
      <c r="C29">
        <v>29.425114285714301</v>
      </c>
      <c r="D29">
        <v>0.12391441077210801</v>
      </c>
      <c r="E29">
        <v>0.241253150363125</v>
      </c>
      <c r="F29">
        <v>0.37599021877988897</v>
      </c>
      <c r="G29">
        <v>0.38275663085698503</v>
      </c>
      <c r="H29">
        <v>0.28075549453291199</v>
      </c>
      <c r="I29">
        <v>4.2555462596518802E-2</v>
      </c>
      <c r="J29">
        <v>0.119285714285714</v>
      </c>
      <c r="K29">
        <v>199.508571428571</v>
      </c>
      <c r="L29">
        <v>236.36066543898099</v>
      </c>
      <c r="M29">
        <v>0.241253150363125</v>
      </c>
      <c r="O29" t="s">
        <v>26</v>
      </c>
      <c r="P29">
        <v>6</v>
      </c>
      <c r="Q29" t="s">
        <v>8</v>
      </c>
      <c r="R29">
        <v>12.129085825324299</v>
      </c>
    </row>
    <row r="30" spans="1:18" x14ac:dyDescent="0.15">
      <c r="O30" t="s">
        <v>26</v>
      </c>
      <c r="P30">
        <v>7</v>
      </c>
      <c r="Q30" t="s">
        <v>13</v>
      </c>
      <c r="R30">
        <v>19.4832143280215</v>
      </c>
    </row>
    <row r="31" spans="1:18" x14ac:dyDescent="0.15">
      <c r="O31" t="s">
        <v>26</v>
      </c>
      <c r="P31">
        <v>8</v>
      </c>
      <c r="Q31" t="s">
        <v>16</v>
      </c>
      <c r="R31">
        <v>9.9046326542865604</v>
      </c>
    </row>
    <row r="32" spans="1:18" x14ac:dyDescent="0.15">
      <c r="O32" t="s">
        <v>26</v>
      </c>
      <c r="P32">
        <v>9</v>
      </c>
      <c r="Q32" t="s">
        <v>10</v>
      </c>
      <c r="R32">
        <v>7.3241291560421704</v>
      </c>
    </row>
    <row r="33" spans="15:18" x14ac:dyDescent="0.15">
      <c r="O33" t="s">
        <v>26</v>
      </c>
      <c r="P33">
        <v>10</v>
      </c>
      <c r="Q33" t="s">
        <v>9</v>
      </c>
      <c r="R33">
        <v>3.9908134582514201</v>
      </c>
    </row>
    <row r="34" spans="15:18" x14ac:dyDescent="0.15">
      <c r="O34" t="s">
        <v>26</v>
      </c>
      <c r="P34">
        <v>11</v>
      </c>
      <c r="Q34" t="s">
        <v>11</v>
      </c>
      <c r="R34">
        <v>8.9711987486353895</v>
      </c>
    </row>
    <row r="35" spans="15:18" x14ac:dyDescent="0.15">
      <c r="O35" t="s">
        <v>27</v>
      </c>
      <c r="P35">
        <v>1</v>
      </c>
      <c r="Q35" t="s">
        <v>6</v>
      </c>
      <c r="R35">
        <v>66.920204505004193</v>
      </c>
    </row>
    <row r="36" spans="15:18" x14ac:dyDescent="0.15">
      <c r="O36" t="s">
        <v>27</v>
      </c>
      <c r="P36">
        <v>2</v>
      </c>
      <c r="Q36" t="s">
        <v>7</v>
      </c>
      <c r="R36">
        <v>29.346576966681798</v>
      </c>
    </row>
    <row r="37" spans="15:18" x14ac:dyDescent="0.15">
      <c r="O37" t="s">
        <v>27</v>
      </c>
      <c r="P37">
        <v>3</v>
      </c>
      <c r="Q37" t="s">
        <v>14</v>
      </c>
      <c r="R37">
        <v>41.637183685874803</v>
      </c>
    </row>
    <row r="38" spans="15:18" x14ac:dyDescent="0.15">
      <c r="O38" t="s">
        <v>27</v>
      </c>
      <c r="P38">
        <v>4</v>
      </c>
      <c r="Q38" t="s">
        <v>15</v>
      </c>
      <c r="R38">
        <v>31.3657917442555</v>
      </c>
    </row>
    <row r="39" spans="15:18" x14ac:dyDescent="0.15">
      <c r="O39" t="s">
        <v>27</v>
      </c>
      <c r="P39">
        <v>5</v>
      </c>
      <c r="Q39" t="s">
        <v>12</v>
      </c>
      <c r="R39">
        <v>19.685255870260001</v>
      </c>
    </row>
    <row r="40" spans="15:18" x14ac:dyDescent="0.15">
      <c r="O40" t="s">
        <v>27</v>
      </c>
      <c r="P40">
        <v>6</v>
      </c>
      <c r="Q40" t="s">
        <v>8</v>
      </c>
      <c r="R40">
        <v>22.909473654125399</v>
      </c>
    </row>
    <row r="41" spans="15:18" x14ac:dyDescent="0.15">
      <c r="O41" t="s">
        <v>27</v>
      </c>
      <c r="P41">
        <v>7</v>
      </c>
      <c r="Q41" t="s">
        <v>13</v>
      </c>
      <c r="R41">
        <v>27.788035143193301</v>
      </c>
    </row>
    <row r="42" spans="15:18" x14ac:dyDescent="0.15">
      <c r="O42" t="s">
        <v>27</v>
      </c>
      <c r="P42">
        <v>8</v>
      </c>
      <c r="Q42" t="s">
        <v>16</v>
      </c>
      <c r="R42">
        <v>24.181605367059699</v>
      </c>
    </row>
    <row r="43" spans="15:18" x14ac:dyDescent="0.15">
      <c r="O43" t="s">
        <v>27</v>
      </c>
      <c r="P43">
        <v>9</v>
      </c>
      <c r="Q43" t="s">
        <v>10</v>
      </c>
      <c r="R43">
        <v>17.619851697024</v>
      </c>
    </row>
    <row r="44" spans="15:18" x14ac:dyDescent="0.15">
      <c r="O44" t="s">
        <v>27</v>
      </c>
      <c r="P44">
        <v>10</v>
      </c>
      <c r="Q44" t="s">
        <v>9</v>
      </c>
      <c r="R44">
        <v>15.8652266951764</v>
      </c>
    </row>
    <row r="45" spans="15:18" x14ac:dyDescent="0.15">
      <c r="O45" t="s">
        <v>27</v>
      </c>
      <c r="P45">
        <v>11</v>
      </c>
      <c r="Q45" t="s">
        <v>11</v>
      </c>
      <c r="R45">
        <v>17.6434989229511</v>
      </c>
    </row>
  </sheetData>
  <pageMargins left="0.51180555555555596" right="0.51180555555555596" top="0.78749999999999998" bottom="0.78749999999999998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50"/>
  <sheetViews>
    <sheetView topLeftCell="AK7" zoomScaleNormal="100" workbookViewId="0">
      <selection activeCell="AT11" sqref="AT11"/>
    </sheetView>
  </sheetViews>
  <sheetFormatPr defaultColWidth="8.359375" defaultRowHeight="12.75" x14ac:dyDescent="0.15"/>
  <cols>
    <col min="2" max="2" width="8.08984375" style="3" customWidth="1"/>
    <col min="3" max="6" width="11.73046875" style="3" customWidth="1"/>
    <col min="7" max="12" width="11.73046875" customWidth="1"/>
    <col min="13" max="15" width="11.73046875" style="3" customWidth="1"/>
    <col min="16" max="17" width="11.73046875" customWidth="1"/>
    <col min="19" max="19" width="8.08984375" style="3" customWidth="1"/>
    <col min="20" max="20" width="11.73046875" customWidth="1"/>
    <col min="21" max="21" width="14.15625" customWidth="1"/>
    <col min="22" max="22" width="11.73046875" style="3" customWidth="1"/>
    <col min="30" max="30" width="8.08984375" style="3" customWidth="1"/>
    <col min="32" max="32" width="13.484375" customWidth="1"/>
    <col min="36" max="36" width="13.88671875" customWidth="1"/>
    <col min="37" max="37" width="12" customWidth="1"/>
    <col min="38" max="38" width="10.3828125" customWidth="1"/>
    <col min="39" max="39" width="9.9765625" customWidth="1"/>
    <col min="40" max="40" width="12.13671875" customWidth="1"/>
    <col min="978" max="1024" width="11.59375" customWidth="1"/>
  </cols>
  <sheetData>
    <row r="1" spans="1:52" ht="12.95" customHeight="1" x14ac:dyDescent="0.15">
      <c r="A1" t="s">
        <v>0</v>
      </c>
      <c r="B1" s="3" t="s">
        <v>32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33</v>
      </c>
      <c r="N1" s="3" t="s">
        <v>13</v>
      </c>
      <c r="O1" s="3" t="s">
        <v>14</v>
      </c>
      <c r="P1" s="3" t="s">
        <v>15</v>
      </c>
      <c r="Q1" s="3" t="s">
        <v>16</v>
      </c>
      <c r="S1" s="3" t="s">
        <v>32</v>
      </c>
      <c r="T1" s="9" t="s">
        <v>34</v>
      </c>
      <c r="U1" t="s">
        <v>11</v>
      </c>
      <c r="V1" s="9" t="s">
        <v>35</v>
      </c>
      <c r="W1" t="s">
        <v>13</v>
      </c>
      <c r="X1" t="s">
        <v>36</v>
      </c>
      <c r="Y1" t="s">
        <v>37</v>
      </c>
      <c r="Z1" t="s">
        <v>16</v>
      </c>
      <c r="AD1" s="3" t="s">
        <v>32</v>
      </c>
      <c r="AE1" t="s">
        <v>38</v>
      </c>
      <c r="AF1" t="s">
        <v>39</v>
      </c>
    </row>
    <row r="2" spans="1:52" ht="12.95" customHeight="1" x14ac:dyDescent="0.15">
      <c r="A2" t="s">
        <v>25</v>
      </c>
      <c r="B2" s="3" t="s">
        <v>18</v>
      </c>
      <c r="C2" s="9">
        <v>0.36320000000000002</v>
      </c>
      <c r="D2" s="9">
        <v>0.81379999999999997</v>
      </c>
      <c r="E2" s="9">
        <v>1.6315999999999999</v>
      </c>
      <c r="F2" s="9">
        <v>3.1248999999999998</v>
      </c>
      <c r="G2" s="9">
        <v>5.9335000000000004</v>
      </c>
      <c r="H2" s="9">
        <v>6.1211763714502397E-2</v>
      </c>
      <c r="I2" s="9">
        <v>0.198365214460268</v>
      </c>
      <c r="J2" s="9">
        <v>0.27498103985843098</v>
      </c>
      <c r="K2" s="9">
        <v>0.52665374568130097</v>
      </c>
      <c r="L2" s="9">
        <v>0.33248900455014702</v>
      </c>
      <c r="M2" s="9">
        <v>1.7653736689284199E-2</v>
      </c>
      <c r="N2" s="9">
        <v>0.11</v>
      </c>
      <c r="O2" s="9">
        <v>54.518000000000001</v>
      </c>
      <c r="P2" s="9">
        <v>282.18131065131303</v>
      </c>
      <c r="Q2" s="9">
        <v>0.198365214460268</v>
      </c>
      <c r="S2" s="3" t="s">
        <v>18</v>
      </c>
      <c r="T2" s="9">
        <v>2.5939933917767402</v>
      </c>
      <c r="U2">
        <v>0.33249000000000001</v>
      </c>
      <c r="V2" s="9">
        <v>-0.650043319242949</v>
      </c>
      <c r="W2">
        <v>0.11</v>
      </c>
      <c r="X2">
        <v>9.4049361977815504</v>
      </c>
      <c r="Y2">
        <v>3.89721008746502</v>
      </c>
      <c r="Z2">
        <v>0.19836999999999999</v>
      </c>
      <c r="AD2" s="3" t="s">
        <v>18</v>
      </c>
      <c r="AE2">
        <v>-2.0853799999999998</v>
      </c>
      <c r="AF2">
        <v>-0.38657000000000002</v>
      </c>
      <c r="AI2" s="10"/>
      <c r="AJ2" s="11" t="s">
        <v>40</v>
      </c>
      <c r="AK2" s="12"/>
      <c r="AL2" s="12"/>
      <c r="AM2" s="12"/>
      <c r="AN2" s="13"/>
      <c r="AP2" t="s">
        <v>41</v>
      </c>
    </row>
    <row r="3" spans="1:52" ht="12.95" customHeight="1" x14ac:dyDescent="0.15">
      <c r="A3" t="s">
        <v>25</v>
      </c>
      <c r="B3" s="3" t="s">
        <v>18</v>
      </c>
      <c r="C3" s="9">
        <v>0.24859999999999999</v>
      </c>
      <c r="D3" s="9">
        <v>0.45429999999999998</v>
      </c>
      <c r="E3" s="9">
        <v>0.79969999999999997</v>
      </c>
      <c r="F3" s="9">
        <v>1.6052</v>
      </c>
      <c r="G3" s="9">
        <v>3.1078000000000001</v>
      </c>
      <c r="H3" s="9">
        <v>7.9992277495334302E-2</v>
      </c>
      <c r="I3" s="9">
        <v>0.22617285539609999</v>
      </c>
      <c r="J3" s="9">
        <v>0.257320290881009</v>
      </c>
      <c r="K3" s="9">
        <v>0.51650685372289096</v>
      </c>
      <c r="L3" s="9">
        <v>0.33994339902367998</v>
      </c>
      <c r="M3" s="9">
        <v>2.1054396387418201E-2</v>
      </c>
      <c r="N3" s="9">
        <v>0.11</v>
      </c>
      <c r="O3" s="9">
        <v>95.153000000000006</v>
      </c>
      <c r="P3" s="9">
        <v>314.26338480799001</v>
      </c>
      <c r="Q3" s="9">
        <v>0.22617285539609999</v>
      </c>
      <c r="S3" s="3" t="s">
        <v>18</v>
      </c>
      <c r="T3" s="9">
        <v>1.4339685892677201</v>
      </c>
      <c r="U3">
        <v>0.33994000000000002</v>
      </c>
      <c r="V3" s="9">
        <v>-0.64963186648539495</v>
      </c>
      <c r="W3">
        <v>0.11</v>
      </c>
      <c r="X3">
        <v>12.245169235986801</v>
      </c>
      <c r="Y3">
        <v>3.94560792013284</v>
      </c>
      <c r="Z3">
        <v>0.22617000000000001</v>
      </c>
      <c r="AD3" s="3" t="s">
        <v>18</v>
      </c>
      <c r="AE3">
        <v>-2.7451400000000001</v>
      </c>
      <c r="AF3">
        <v>-0.11706999999999999</v>
      </c>
      <c r="AI3" s="14" t="s">
        <v>32</v>
      </c>
      <c r="AJ3" s="15" t="s">
        <v>42</v>
      </c>
      <c r="AK3" s="16" t="s">
        <v>42</v>
      </c>
      <c r="AL3" s="16" t="s">
        <v>43</v>
      </c>
      <c r="AM3" s="16" t="s">
        <v>44</v>
      </c>
      <c r="AN3" s="17" t="s">
        <v>42</v>
      </c>
      <c r="AQ3" t="s">
        <v>45</v>
      </c>
      <c r="AR3" t="s">
        <v>46</v>
      </c>
      <c r="AS3" t="s">
        <v>46</v>
      </c>
      <c r="AT3" t="s">
        <v>47</v>
      </c>
      <c r="AU3" t="s">
        <v>48</v>
      </c>
      <c r="AV3" t="s">
        <v>49</v>
      </c>
    </row>
    <row r="4" spans="1:52" ht="12.95" customHeight="1" x14ac:dyDescent="0.15">
      <c r="A4" t="s">
        <v>25</v>
      </c>
      <c r="B4" s="3" t="s">
        <v>18</v>
      </c>
      <c r="C4" s="9">
        <v>0.9708</v>
      </c>
      <c r="D4" s="9">
        <v>0.99219999999999997</v>
      </c>
      <c r="E4" s="9">
        <v>1.9514</v>
      </c>
      <c r="F4" s="9">
        <v>3.0912999999999999</v>
      </c>
      <c r="G4" s="9">
        <v>7.0057</v>
      </c>
      <c r="H4" s="9">
        <v>0.138572876372097</v>
      </c>
      <c r="I4" s="9">
        <v>0.28020040823900499</v>
      </c>
      <c r="J4" s="9">
        <v>0.27854461367172401</v>
      </c>
      <c r="K4" s="9">
        <v>0.44125497808927</v>
      </c>
      <c r="L4" s="9">
        <v>0.30688368201971</v>
      </c>
      <c r="M4" s="9">
        <v>1.6050291681451102E-2</v>
      </c>
      <c r="N4" s="9">
        <v>0.14000000000000001</v>
      </c>
      <c r="O4" s="9">
        <v>114.943</v>
      </c>
      <c r="P4" s="9">
        <v>260.77713630688203</v>
      </c>
      <c r="Q4" s="9">
        <v>0.28020040823900499</v>
      </c>
      <c r="S4" s="3" t="s">
        <v>18</v>
      </c>
      <c r="T4" s="9">
        <v>2.9435115969150401</v>
      </c>
      <c r="U4">
        <v>0.30687999999999999</v>
      </c>
      <c r="V4" s="9">
        <v>-0.65022316593080198</v>
      </c>
      <c r="W4">
        <v>0.14000000000000001</v>
      </c>
      <c r="X4">
        <v>13.353802994358199</v>
      </c>
      <c r="Y4">
        <v>3.8612883806577001</v>
      </c>
      <c r="Z4">
        <v>0.2802</v>
      </c>
      <c r="AD4" s="3" t="s">
        <v>18</v>
      </c>
      <c r="AE4">
        <v>-1.56613</v>
      </c>
      <c r="AF4">
        <v>0.57916000000000001</v>
      </c>
      <c r="AI4" s="18" t="s">
        <v>24</v>
      </c>
      <c r="AJ4" s="19">
        <v>0.33971571428571401</v>
      </c>
      <c r="AK4" s="20">
        <v>0.33971571428571401</v>
      </c>
      <c r="AL4" s="20">
        <v>-1.6249028571428601</v>
      </c>
      <c r="AM4" s="20">
        <v>1.62828175516109</v>
      </c>
      <c r="AN4" s="21">
        <v>0.33971571428571401</v>
      </c>
      <c r="AP4" t="s">
        <v>50</v>
      </c>
      <c r="AQ4" t="s">
        <v>51</v>
      </c>
      <c r="AR4" t="s">
        <v>52</v>
      </c>
      <c r="AS4" t="s">
        <v>53</v>
      </c>
      <c r="AT4" t="s">
        <v>54</v>
      </c>
      <c r="AU4" t="s">
        <v>55</v>
      </c>
      <c r="AV4" t="s">
        <v>56</v>
      </c>
    </row>
    <row r="5" spans="1:52" ht="12.95" customHeight="1" x14ac:dyDescent="0.15">
      <c r="A5" t="s">
        <v>25</v>
      </c>
      <c r="B5" s="3" t="s">
        <v>18</v>
      </c>
      <c r="C5" s="9">
        <v>0.23480000000000001</v>
      </c>
      <c r="D5" s="9">
        <v>0.31809999999999999</v>
      </c>
      <c r="E5" s="9">
        <v>0.73119999999999996</v>
      </c>
      <c r="F5" s="9">
        <v>1.1017999999999999</v>
      </c>
      <c r="G5" s="9">
        <v>2.3858999999999999</v>
      </c>
      <c r="H5" s="9">
        <v>9.8411500901127505E-2</v>
      </c>
      <c r="I5" s="9">
        <v>0.23173645165346399</v>
      </c>
      <c r="J5" s="9">
        <v>0.30646716123894502</v>
      </c>
      <c r="K5" s="9">
        <v>0.46179638710759002</v>
      </c>
      <c r="L5" s="9">
        <v>0.37708579569699802</v>
      </c>
      <c r="M5" s="9">
        <v>1.7410196968044502E-2</v>
      </c>
      <c r="N5" s="9">
        <v>0.14499999999999999</v>
      </c>
      <c r="O5" s="9">
        <v>49.451999999999998</v>
      </c>
      <c r="P5" s="9">
        <v>184.43715095359201</v>
      </c>
      <c r="Q5" s="9">
        <v>0.23173645165346399</v>
      </c>
      <c r="S5" s="3" t="s">
        <v>18</v>
      </c>
      <c r="T5" s="9">
        <v>1.0395331819636899</v>
      </c>
      <c r="U5">
        <v>0.37708999999999998</v>
      </c>
      <c r="V5" s="9">
        <v>-0.65007087610695102</v>
      </c>
      <c r="W5">
        <v>0.14499999999999999</v>
      </c>
      <c r="X5">
        <v>8.9666023688801904</v>
      </c>
      <c r="Y5">
        <v>3.69877130880732</v>
      </c>
      <c r="Z5">
        <v>0.23174</v>
      </c>
      <c r="AD5" s="3" t="s">
        <v>18</v>
      </c>
      <c r="AE5">
        <v>-0.35558000000000001</v>
      </c>
      <c r="AF5">
        <v>-0.14402000000000001</v>
      </c>
      <c r="AI5" s="22" t="s">
        <v>22</v>
      </c>
      <c r="AJ5" s="23">
        <v>0.139287094142857</v>
      </c>
      <c r="AK5" s="24">
        <v>0.139287094142857</v>
      </c>
      <c r="AL5" s="24">
        <v>3.16771428571428E-2</v>
      </c>
      <c r="AM5" s="24">
        <v>1.49837233118379</v>
      </c>
      <c r="AN5" s="25">
        <v>0.139287094142857</v>
      </c>
      <c r="AP5" t="s">
        <v>57</v>
      </c>
      <c r="AQ5">
        <v>6</v>
      </c>
      <c r="AR5">
        <v>153.94</v>
      </c>
      <c r="AS5">
        <v>25.655999999999999</v>
      </c>
      <c r="AT5">
        <v>5.9187000000000003</v>
      </c>
      <c r="AU5">
        <v>1E-4</v>
      </c>
      <c r="AV5">
        <v>9914</v>
      </c>
    </row>
    <row r="6" spans="1:52" ht="12.95" customHeight="1" x14ac:dyDescent="0.15">
      <c r="A6" t="s">
        <v>25</v>
      </c>
      <c r="B6" s="3" t="s">
        <v>18</v>
      </c>
      <c r="C6" s="9">
        <v>0.1835</v>
      </c>
      <c r="D6" s="9">
        <v>0.71350000000000002</v>
      </c>
      <c r="E6" s="9">
        <v>0.91459999999999997</v>
      </c>
      <c r="F6" s="9">
        <v>1.5471999999999999</v>
      </c>
      <c r="G6" s="9">
        <v>3.3588</v>
      </c>
      <c r="H6" s="9">
        <v>5.4632606883410803E-2</v>
      </c>
      <c r="I6" s="9">
        <v>0.26705966416577398</v>
      </c>
      <c r="J6" s="9">
        <v>0.27229963082053099</v>
      </c>
      <c r="K6" s="9">
        <v>0.46064070501369497</v>
      </c>
      <c r="L6" s="9">
        <v>0.36261056414200499</v>
      </c>
      <c r="M6" s="9">
        <v>1.44634866832109E-2</v>
      </c>
      <c r="N6" s="9">
        <v>0.12</v>
      </c>
      <c r="O6" s="9">
        <v>33.991</v>
      </c>
      <c r="P6" s="9">
        <v>194.90933272373101</v>
      </c>
      <c r="Q6" s="9">
        <v>0.26705966416577398</v>
      </c>
      <c r="S6" s="3" t="s">
        <v>18</v>
      </c>
      <c r="T6" s="9">
        <v>1.5579949687588699</v>
      </c>
      <c r="U6">
        <v>0.36260999999999999</v>
      </c>
      <c r="V6" s="9">
        <v>-0.65039262152644195</v>
      </c>
      <c r="W6">
        <v>0.12</v>
      </c>
      <c r="X6">
        <v>7.4252275093693099</v>
      </c>
      <c r="Y6">
        <v>3.7252166770647799</v>
      </c>
      <c r="Z6">
        <v>0.26706000000000002</v>
      </c>
      <c r="AD6" s="3" t="s">
        <v>18</v>
      </c>
      <c r="AE6">
        <v>-0.51298999999999995</v>
      </c>
      <c r="AF6">
        <v>-0.95472000000000001</v>
      </c>
      <c r="AI6" s="22" t="s">
        <v>21</v>
      </c>
      <c r="AJ6" s="23">
        <v>2.2978142857142898</v>
      </c>
      <c r="AK6" s="24">
        <v>2.2978142857142898</v>
      </c>
      <c r="AL6" s="24">
        <v>0.570885714285714</v>
      </c>
      <c r="AM6" s="24">
        <v>1.4431658222909001</v>
      </c>
      <c r="AN6" s="25">
        <v>2.2978142857142898</v>
      </c>
      <c r="AP6" t="s">
        <v>58</v>
      </c>
      <c r="AQ6">
        <v>42</v>
      </c>
      <c r="AR6">
        <v>182.06</v>
      </c>
      <c r="AS6">
        <v>4.3348000000000004</v>
      </c>
      <c r="AT6" t="s">
        <v>47</v>
      </c>
      <c r="AU6" t="s">
        <v>48</v>
      </c>
      <c r="AV6" t="s">
        <v>46</v>
      </c>
    </row>
    <row r="7" spans="1:52" ht="12.95" customHeight="1" x14ac:dyDescent="0.15">
      <c r="A7" t="s">
        <v>25</v>
      </c>
      <c r="B7" s="3" t="s">
        <v>18</v>
      </c>
      <c r="C7" s="9">
        <v>0.70950000000000002</v>
      </c>
      <c r="D7" s="9">
        <v>0.83960000000000001</v>
      </c>
      <c r="E7" s="9">
        <v>1.6329</v>
      </c>
      <c r="F7" s="9">
        <v>2.0114999999999998</v>
      </c>
      <c r="G7" s="9">
        <v>5.1935000000000002</v>
      </c>
      <c r="H7" s="9">
        <v>0.13661307403485101</v>
      </c>
      <c r="I7" s="9">
        <v>0.29827669201887003</v>
      </c>
      <c r="J7" s="9">
        <v>0.314412246076827</v>
      </c>
      <c r="K7" s="9">
        <v>0.38731106190430298</v>
      </c>
      <c r="L7" s="9">
        <v>0.39282176316148698</v>
      </c>
      <c r="M7" s="9">
        <v>1.8172671999846301E-2</v>
      </c>
      <c r="N7" s="9">
        <v>0.12</v>
      </c>
      <c r="O7" s="9">
        <v>47.224499999999999</v>
      </c>
      <c r="P7" s="9">
        <v>188.74184069454</v>
      </c>
      <c r="Q7" s="9">
        <v>0.29827669201887003</v>
      </c>
      <c r="S7" s="3" t="s">
        <v>18</v>
      </c>
      <c r="T7" s="9">
        <v>2.3299752666275602</v>
      </c>
      <c r="U7">
        <v>0.39282</v>
      </c>
      <c r="V7" s="9">
        <v>-0.64998292383775902</v>
      </c>
      <c r="W7">
        <v>0.12</v>
      </c>
      <c r="X7">
        <v>8.7650478348242302</v>
      </c>
      <c r="Y7">
        <v>3.7098442128707299</v>
      </c>
      <c r="Z7">
        <v>0.29827999999999999</v>
      </c>
      <c r="AD7" s="3" t="s">
        <v>18</v>
      </c>
      <c r="AE7">
        <v>-0.52100999999999997</v>
      </c>
      <c r="AF7" s="26">
        <v>-8.4096599999999996E-4</v>
      </c>
      <c r="AI7" s="22" t="s">
        <v>23</v>
      </c>
      <c r="AJ7" s="23">
        <v>1.6524842857142901</v>
      </c>
      <c r="AK7" s="24">
        <v>1.6524842857142901</v>
      </c>
      <c r="AL7" s="24">
        <v>-0.119348571428572</v>
      </c>
      <c r="AM7" s="24">
        <v>1.9466177300849199</v>
      </c>
      <c r="AN7" s="25">
        <v>1.6524842857142901</v>
      </c>
      <c r="AP7" t="s">
        <v>59</v>
      </c>
      <c r="AQ7">
        <v>48</v>
      </c>
      <c r="AR7">
        <v>336</v>
      </c>
      <c r="AS7" t="s">
        <v>46</v>
      </c>
      <c r="AT7" t="s">
        <v>47</v>
      </c>
    </row>
    <row r="8" spans="1:52" ht="12.95" customHeight="1" x14ac:dyDescent="0.15">
      <c r="A8" t="s">
        <v>25</v>
      </c>
      <c r="B8" s="3" t="s">
        <v>18</v>
      </c>
      <c r="C8" s="9">
        <v>0.48130000000000001</v>
      </c>
      <c r="D8" s="9">
        <v>1.8466</v>
      </c>
      <c r="E8" s="9">
        <v>2.4998999999999998</v>
      </c>
      <c r="F8" s="9">
        <v>3.0674000000000001</v>
      </c>
      <c r="G8" s="9">
        <v>7.8952</v>
      </c>
      <c r="H8" s="9">
        <v>6.0961090282703398E-2</v>
      </c>
      <c r="I8" s="9">
        <v>0.29485003546458599</v>
      </c>
      <c r="J8" s="9">
        <v>0.31663542405512202</v>
      </c>
      <c r="K8" s="9">
        <v>0.38851454048029199</v>
      </c>
      <c r="L8" s="9">
        <v>0.40193050569125199</v>
      </c>
      <c r="M8" s="9">
        <v>1.93707561203833E-2</v>
      </c>
      <c r="N8" s="9">
        <v>0.12</v>
      </c>
      <c r="O8" s="9">
        <v>85.034999999999997</v>
      </c>
      <c r="P8" s="9">
        <v>200.76089001155501</v>
      </c>
      <c r="Q8" s="9">
        <v>0.29485003546458599</v>
      </c>
      <c r="S8" s="3" t="s">
        <v>18</v>
      </c>
      <c r="T8" s="9">
        <v>3.2097486967847302</v>
      </c>
      <c r="U8">
        <v>0.40193000000000001</v>
      </c>
      <c r="V8" s="9">
        <v>-0.64984001169651995</v>
      </c>
      <c r="W8">
        <v>0.12</v>
      </c>
      <c r="X8">
        <v>11.6223857599949</v>
      </c>
      <c r="Y8">
        <v>3.7392973049213598</v>
      </c>
      <c r="Z8">
        <v>0.29485</v>
      </c>
      <c r="AD8" s="3" t="s">
        <v>18</v>
      </c>
      <c r="AE8">
        <v>-0.93120000000000003</v>
      </c>
      <c r="AF8">
        <v>0.91098999999999997</v>
      </c>
      <c r="AI8" s="22" t="s">
        <v>19</v>
      </c>
      <c r="AJ8" s="23">
        <v>-1.14252714285714</v>
      </c>
      <c r="AK8" s="24">
        <v>-1.14252714285714</v>
      </c>
      <c r="AL8" s="24">
        <v>0.79820571428571396</v>
      </c>
      <c r="AM8" s="24">
        <v>0.989961958374447</v>
      </c>
      <c r="AN8" s="25">
        <v>-1.14252714285714</v>
      </c>
    </row>
    <row r="9" spans="1:52" ht="12.95" customHeight="1" x14ac:dyDescent="0.15">
      <c r="A9" t="s">
        <v>25</v>
      </c>
      <c r="B9" s="3" t="s">
        <v>19</v>
      </c>
      <c r="C9" s="9">
        <v>0.70089999999999997</v>
      </c>
      <c r="D9" s="9">
        <v>1.6926000000000001</v>
      </c>
      <c r="E9" s="9">
        <v>4.4733999999999998</v>
      </c>
      <c r="F9" s="9">
        <v>4.9092000000000002</v>
      </c>
      <c r="G9" s="9">
        <v>11.7761</v>
      </c>
      <c r="H9" s="9">
        <v>5.95188559879756E-2</v>
      </c>
      <c r="I9" s="9">
        <v>0.20325065174378601</v>
      </c>
      <c r="J9" s="9">
        <v>0.37987109484464299</v>
      </c>
      <c r="K9" s="9">
        <v>0.41687825341157098</v>
      </c>
      <c r="L9" s="9">
        <v>0.40497850556252601</v>
      </c>
      <c r="M9" s="9">
        <v>2.03368285074918E-2</v>
      </c>
      <c r="N9" s="9">
        <v>0.13</v>
      </c>
      <c r="O9" s="9">
        <v>103.33150000000001</v>
      </c>
      <c r="P9" s="9">
        <v>180.721724513575</v>
      </c>
      <c r="Q9" s="9">
        <v>0.20325065174378601</v>
      </c>
      <c r="S9" s="3" t="s">
        <v>19</v>
      </c>
      <c r="T9" s="9">
        <v>4.1984694012179098</v>
      </c>
      <c r="U9">
        <v>0.40498000000000001</v>
      </c>
      <c r="V9" s="9">
        <v>-0.64972096156179604</v>
      </c>
      <c r="W9">
        <v>0.13</v>
      </c>
      <c r="X9">
        <v>12.7191815103241</v>
      </c>
      <c r="Y9">
        <v>3.68897452542077</v>
      </c>
      <c r="Z9">
        <v>0.20324999999999999</v>
      </c>
      <c r="AD9" s="3" t="s">
        <v>19</v>
      </c>
      <c r="AE9">
        <v>-0.99922</v>
      </c>
      <c r="AF9">
        <v>1.9194100000000001</v>
      </c>
      <c r="AI9" s="22" t="s">
        <v>18</v>
      </c>
      <c r="AJ9" s="23">
        <v>-1.2453471428571401</v>
      </c>
      <c r="AK9" s="24">
        <v>-1.2453471428571401</v>
      </c>
      <c r="AL9" s="24">
        <v>-1.6152995142857101E-2</v>
      </c>
      <c r="AM9" s="24">
        <v>0.61357927316677596</v>
      </c>
      <c r="AN9" s="25">
        <v>-1.2453471428571401</v>
      </c>
    </row>
    <row r="10" spans="1:52" ht="12.95" customHeight="1" x14ac:dyDescent="0.15">
      <c r="A10" t="s">
        <v>25</v>
      </c>
      <c r="B10" s="3" t="s">
        <v>19</v>
      </c>
      <c r="C10" s="9">
        <v>0.25330000000000003</v>
      </c>
      <c r="D10" s="9">
        <v>1.0822000000000001</v>
      </c>
      <c r="E10" s="9">
        <v>2.6227999999999998</v>
      </c>
      <c r="F10" s="9">
        <v>3.4333</v>
      </c>
      <c r="G10" s="9">
        <v>7.3916000000000004</v>
      </c>
      <c r="H10" s="9">
        <v>3.4268629254829798E-2</v>
      </c>
      <c r="I10" s="9">
        <v>0.180678066994967</v>
      </c>
      <c r="J10" s="9">
        <v>0.35483521835597198</v>
      </c>
      <c r="K10" s="9">
        <v>0.46448671464906099</v>
      </c>
      <c r="L10" s="9">
        <v>0.35460010655136098</v>
      </c>
      <c r="M10" s="9">
        <v>1.7083739670494601E-2</v>
      </c>
      <c r="N10" s="9">
        <v>0.13</v>
      </c>
      <c r="O10" s="9">
        <v>93.621499999999997</v>
      </c>
      <c r="P10" s="9">
        <v>241.591914936677</v>
      </c>
      <c r="Q10" s="9">
        <v>0.180678066994967</v>
      </c>
      <c r="S10" s="3" t="s">
        <v>19</v>
      </c>
      <c r="T10" s="9">
        <v>3.06137305227606</v>
      </c>
      <c r="U10">
        <v>0.35460000000000003</v>
      </c>
      <c r="V10" s="9">
        <v>-0.65010843575683797</v>
      </c>
      <c r="W10">
        <v>0.13</v>
      </c>
      <c r="X10">
        <v>12.153629501410601</v>
      </c>
      <c r="Y10">
        <v>3.8261088718651899</v>
      </c>
      <c r="Z10">
        <v>0.18068000000000001</v>
      </c>
      <c r="AD10" s="3" t="s">
        <v>19</v>
      </c>
      <c r="AE10">
        <v>-1.61317</v>
      </c>
      <c r="AF10">
        <v>0.68545</v>
      </c>
      <c r="AI10" s="22" t="s">
        <v>20</v>
      </c>
      <c r="AJ10" s="27">
        <v>-2.04142571428571</v>
      </c>
      <c r="AK10" s="28">
        <v>-2.04142571428571</v>
      </c>
      <c r="AL10" s="28">
        <v>0.35963142857142799</v>
      </c>
      <c r="AM10" s="28">
        <v>1.1679329823014799</v>
      </c>
      <c r="AN10" s="29">
        <v>-2.04142571428571</v>
      </c>
      <c r="AQ10" t="s">
        <v>46</v>
      </c>
      <c r="AR10" t="s">
        <v>48</v>
      </c>
      <c r="AS10" t="s">
        <v>49</v>
      </c>
    </row>
    <row r="11" spans="1:52" ht="12.95" customHeight="1" x14ac:dyDescent="0.15">
      <c r="A11" t="s">
        <v>25</v>
      </c>
      <c r="B11" s="3" t="s">
        <v>19</v>
      </c>
      <c r="C11" s="9">
        <v>0.45079999999999998</v>
      </c>
      <c r="D11" s="9">
        <v>0.94140000000000001</v>
      </c>
      <c r="E11" s="9">
        <v>1.6966000000000001</v>
      </c>
      <c r="F11" s="9">
        <v>2.1602000000000001</v>
      </c>
      <c r="G11" s="9">
        <v>5.2489999999999997</v>
      </c>
      <c r="H11" s="9">
        <v>8.5883025338159599E-2</v>
      </c>
      <c r="I11" s="9">
        <v>0.26523147266145902</v>
      </c>
      <c r="J11" s="9">
        <v>0.323223471137359</v>
      </c>
      <c r="K11" s="9">
        <v>0.41154505620118098</v>
      </c>
      <c r="L11" s="9">
        <v>0.35918556802857698</v>
      </c>
      <c r="M11" s="9">
        <v>1.6742102755476999E-2</v>
      </c>
      <c r="N11" s="9">
        <v>0.13</v>
      </c>
      <c r="O11" s="9">
        <v>95.153999999999996</v>
      </c>
      <c r="P11" s="9">
        <v>243.61156746507601</v>
      </c>
      <c r="Q11" s="9">
        <v>0.26523147266145902</v>
      </c>
      <c r="S11" s="3" t="s">
        <v>19</v>
      </c>
      <c r="T11" s="9">
        <v>2.35053220435534</v>
      </c>
      <c r="U11">
        <v>0.35919000000000001</v>
      </c>
      <c r="V11" s="9">
        <v>-0.650146729374808</v>
      </c>
      <c r="W11">
        <v>0.13</v>
      </c>
      <c r="X11">
        <v>12.245228707972499</v>
      </c>
      <c r="Y11">
        <v>3.82995979635679</v>
      </c>
      <c r="Z11">
        <v>0.26523000000000002</v>
      </c>
      <c r="AD11" s="3" t="s">
        <v>19</v>
      </c>
      <c r="AE11">
        <v>-1.3348500000000001</v>
      </c>
      <c r="AF11">
        <v>0.30486999999999997</v>
      </c>
      <c r="AI11" s="30" t="s">
        <v>60</v>
      </c>
      <c r="AJ11" s="31">
        <v>1.9712244900329001E-7</v>
      </c>
      <c r="AK11" s="32">
        <v>1.9712244900329001E-7</v>
      </c>
      <c r="AL11" s="32">
        <v>-6.3195918368636001E-7</v>
      </c>
      <c r="AM11" s="32">
        <v>1.49423624049702</v>
      </c>
      <c r="AN11" s="33">
        <v>1.9712244900329001E-7</v>
      </c>
      <c r="AP11" t="s">
        <v>61</v>
      </c>
      <c r="AQ11" t="s">
        <v>62</v>
      </c>
      <c r="AR11" t="s">
        <v>55</v>
      </c>
      <c r="AS11" t="s">
        <v>56</v>
      </c>
      <c r="AT11" s="34" t="s">
        <v>18</v>
      </c>
      <c r="AU11" s="34" t="s">
        <v>19</v>
      </c>
      <c r="AV11" s="34" t="s">
        <v>20</v>
      </c>
      <c r="AW11" s="34" t="s">
        <v>21</v>
      </c>
      <c r="AX11" s="34" t="s">
        <v>22</v>
      </c>
      <c r="AY11" s="34" t="s">
        <v>23</v>
      </c>
      <c r="AZ11" s="35" t="s">
        <v>24</v>
      </c>
    </row>
    <row r="12" spans="1:52" ht="12.95" customHeight="1" x14ac:dyDescent="0.15">
      <c r="A12" t="s">
        <v>25</v>
      </c>
      <c r="B12" s="3" t="s">
        <v>19</v>
      </c>
      <c r="C12" s="9">
        <v>0.2883</v>
      </c>
      <c r="D12" s="9">
        <v>1.1209</v>
      </c>
      <c r="E12" s="9">
        <v>1.641</v>
      </c>
      <c r="F12" s="9">
        <v>2.1055999999999999</v>
      </c>
      <c r="G12" s="9">
        <v>5.1558000000000002</v>
      </c>
      <c r="H12" s="9">
        <v>5.5917607354823699E-2</v>
      </c>
      <c r="I12" s="9">
        <v>0.273323247604639</v>
      </c>
      <c r="J12" s="9">
        <v>0.31828232282090102</v>
      </c>
      <c r="K12" s="9">
        <v>0.40839442957445998</v>
      </c>
      <c r="L12" s="9">
        <v>0.417472807164321</v>
      </c>
      <c r="M12" s="9">
        <v>2.45829490869225E-2</v>
      </c>
      <c r="N12" s="9">
        <v>0.13</v>
      </c>
      <c r="O12" s="9">
        <v>80.836500000000001</v>
      </c>
      <c r="P12" s="9">
        <v>210.541926117136</v>
      </c>
      <c r="Q12" s="9">
        <v>0.273323247604639</v>
      </c>
      <c r="S12" s="3" t="s">
        <v>19</v>
      </c>
      <c r="T12" s="9">
        <v>2.3159359653690301</v>
      </c>
      <c r="U12">
        <v>0.41747000000000001</v>
      </c>
      <c r="V12" s="9">
        <v>-0.649165274624811</v>
      </c>
      <c r="W12">
        <v>0.13</v>
      </c>
      <c r="X12">
        <v>11.350473767715499</v>
      </c>
      <c r="Y12">
        <v>3.7618192443178402</v>
      </c>
      <c r="Z12">
        <v>0.27332000000000001</v>
      </c>
      <c r="AD12" s="3" t="s">
        <v>19</v>
      </c>
      <c r="AE12">
        <v>-1.2113700000000001</v>
      </c>
      <c r="AF12">
        <v>1.2611300000000001</v>
      </c>
      <c r="AP12" t="s">
        <v>63</v>
      </c>
      <c r="AQ12">
        <v>1.1127</v>
      </c>
      <c r="AR12">
        <v>0.29630000000000001</v>
      </c>
      <c r="AS12">
        <v>1710</v>
      </c>
      <c r="AT12" t="s">
        <v>64</v>
      </c>
      <c r="AU12" t="s">
        <v>64</v>
      </c>
      <c r="AV12" t="s">
        <v>65</v>
      </c>
      <c r="AW12" t="s">
        <v>66</v>
      </c>
      <c r="AX12" t="s">
        <v>67</v>
      </c>
      <c r="AY12" t="s">
        <v>68</v>
      </c>
      <c r="AZ12" t="s">
        <v>69</v>
      </c>
    </row>
    <row r="13" spans="1:52" ht="12.95" customHeight="1" x14ac:dyDescent="0.15">
      <c r="A13" t="s">
        <v>25</v>
      </c>
      <c r="B13" s="3" t="s">
        <v>19</v>
      </c>
      <c r="C13" s="9">
        <v>0.38929999999999998</v>
      </c>
      <c r="D13" s="9">
        <v>1.6471</v>
      </c>
      <c r="E13" s="9">
        <v>4.2615999999999996</v>
      </c>
      <c r="F13" s="9">
        <v>4.5789</v>
      </c>
      <c r="G13" s="9">
        <v>10.876899999999999</v>
      </c>
      <c r="H13" s="9">
        <v>3.57914479309362E-2</v>
      </c>
      <c r="I13" s="9">
        <v>0.18722246228245201</v>
      </c>
      <c r="J13" s="9">
        <v>0.39180281146282497</v>
      </c>
      <c r="K13" s="9">
        <v>0.42097472625472299</v>
      </c>
      <c r="L13" s="9">
        <v>0.39655514249938101</v>
      </c>
      <c r="M13" s="9">
        <v>1.9540735712557999E-2</v>
      </c>
      <c r="N13" s="9">
        <v>0.14000000000000001</v>
      </c>
      <c r="O13" s="9">
        <v>66.772499999999994</v>
      </c>
      <c r="P13" s="9">
        <v>189.52476318836699</v>
      </c>
      <c r="Q13" s="9">
        <v>0.18722246228245201</v>
      </c>
      <c r="S13" s="3" t="s">
        <v>19</v>
      </c>
      <c r="T13" s="9">
        <v>3.9892885062027301</v>
      </c>
      <c r="U13">
        <v>0.39656000000000002</v>
      </c>
      <c r="V13" s="9">
        <v>-0.64981937278611901</v>
      </c>
      <c r="W13">
        <v>0.14000000000000001</v>
      </c>
      <c r="X13">
        <v>10.369984750724701</v>
      </c>
      <c r="Y13">
        <v>3.7118271450209401</v>
      </c>
      <c r="Z13">
        <v>0.18722</v>
      </c>
      <c r="AD13" s="3" t="s">
        <v>19</v>
      </c>
      <c r="AE13">
        <v>-0.66612000000000005</v>
      </c>
      <c r="AF13">
        <v>1.4634199999999999</v>
      </c>
      <c r="AP13" t="s">
        <v>70</v>
      </c>
      <c r="AQ13">
        <v>1.6637</v>
      </c>
      <c r="AR13">
        <v>1.61E-2</v>
      </c>
      <c r="AS13">
        <v>1707</v>
      </c>
    </row>
    <row r="14" spans="1:52" ht="12.95" customHeight="1" x14ac:dyDescent="0.15">
      <c r="A14" t="s">
        <v>25</v>
      </c>
      <c r="B14" s="3" t="s">
        <v>19</v>
      </c>
      <c r="C14" s="9">
        <v>0.28139999999999998</v>
      </c>
      <c r="D14" s="9">
        <v>1.1724000000000001</v>
      </c>
      <c r="E14" s="9">
        <v>2.0853000000000002</v>
      </c>
      <c r="F14" s="9">
        <v>2.9964</v>
      </c>
      <c r="G14" s="9">
        <v>6.5354999999999999</v>
      </c>
      <c r="H14" s="9">
        <v>4.3057149414734902E-2</v>
      </c>
      <c r="I14" s="9">
        <v>0.22244663759467501</v>
      </c>
      <c r="J14" s="9">
        <v>0.319072756483819</v>
      </c>
      <c r="K14" s="9">
        <v>0.45848060592150602</v>
      </c>
      <c r="L14" s="9">
        <v>0.35759553621755802</v>
      </c>
      <c r="M14" s="9">
        <v>1.8493633733447201E-2</v>
      </c>
      <c r="N14" s="9">
        <v>0.14499999999999999</v>
      </c>
      <c r="O14" s="9">
        <v>90.078000000000003</v>
      </c>
      <c r="P14" s="9">
        <v>189.494471963222</v>
      </c>
      <c r="Q14" s="9">
        <v>0.22244663759467501</v>
      </c>
      <c r="S14" s="3" t="s">
        <v>19</v>
      </c>
      <c r="T14" s="9">
        <v>2.7945024715289</v>
      </c>
      <c r="U14">
        <v>0.35759999999999997</v>
      </c>
      <c r="V14" s="9">
        <v>-0.64994529324559702</v>
      </c>
      <c r="W14">
        <v>0.14499999999999999</v>
      </c>
      <c r="X14">
        <v>11.9382126603349</v>
      </c>
      <c r="Y14">
        <v>3.71175060218637</v>
      </c>
      <c r="Z14">
        <v>0.22245000000000001</v>
      </c>
      <c r="AD14" s="3" t="s">
        <v>19</v>
      </c>
      <c r="AE14">
        <v>-0.86160999999999999</v>
      </c>
      <c r="AF14">
        <v>1.0628599999999999</v>
      </c>
      <c r="AJ14" t="s">
        <v>38</v>
      </c>
      <c r="AK14" t="s">
        <v>71</v>
      </c>
      <c r="AL14" t="s">
        <v>39</v>
      </c>
      <c r="AM14" t="s">
        <v>72</v>
      </c>
      <c r="AP14" t="s">
        <v>73</v>
      </c>
      <c r="AQ14">
        <v>3.9394</v>
      </c>
      <c r="AR14">
        <v>5.0000000000000001E-4</v>
      </c>
      <c r="AS14">
        <v>1707</v>
      </c>
    </row>
    <row r="15" spans="1:52" ht="12.95" customHeight="1" x14ac:dyDescent="0.15">
      <c r="A15" t="s">
        <v>25</v>
      </c>
      <c r="B15" s="3" t="s">
        <v>19</v>
      </c>
      <c r="C15" s="9">
        <v>0.23960000000000001</v>
      </c>
      <c r="D15" s="9">
        <v>0.75649999999999995</v>
      </c>
      <c r="E15" s="9">
        <v>1.1591</v>
      </c>
      <c r="F15" s="9">
        <v>1.7117</v>
      </c>
      <c r="G15" s="9">
        <v>3.8668999999999998</v>
      </c>
      <c r="H15" s="9">
        <v>6.1961778168558801E-2</v>
      </c>
      <c r="I15" s="9">
        <v>0.257596524347669</v>
      </c>
      <c r="J15" s="9">
        <v>0.29974915306834898</v>
      </c>
      <c r="K15" s="9">
        <v>0.44265432258398202</v>
      </c>
      <c r="L15" s="9">
        <v>0.33245428261932403</v>
      </c>
      <c r="M15" s="9">
        <v>1.1116988553954399E-2</v>
      </c>
      <c r="N15" s="9">
        <v>0.115</v>
      </c>
      <c r="O15" s="9">
        <v>60.311999999999998</v>
      </c>
      <c r="P15" s="9">
        <v>254.249340708917</v>
      </c>
      <c r="Q15" s="9">
        <v>0.257596524347669</v>
      </c>
      <c r="S15" s="3" t="s">
        <v>19</v>
      </c>
      <c r="T15" s="9">
        <v>1.7929918403712699</v>
      </c>
      <c r="U15">
        <v>0.33245000000000002</v>
      </c>
      <c r="V15" s="9">
        <v>-0.65071634840005499</v>
      </c>
      <c r="W15">
        <v>0.115</v>
      </c>
      <c r="X15">
        <v>9.8763473594428799</v>
      </c>
      <c r="Y15">
        <v>3.8496595437778298</v>
      </c>
      <c r="Z15">
        <v>0.2576</v>
      </c>
      <c r="AD15" s="3" t="s">
        <v>19</v>
      </c>
      <c r="AE15">
        <v>-1.31135</v>
      </c>
      <c r="AF15">
        <v>-1.1096999999999999</v>
      </c>
      <c r="AI15" s="36" t="s">
        <v>24</v>
      </c>
      <c r="AJ15" s="37">
        <v>0.33971571428571401</v>
      </c>
      <c r="AK15">
        <f t="shared" ref="AK15:AK21" si="0">AK4/SQRT(AN4)</f>
        <v>0.58285136551758554</v>
      </c>
      <c r="AL15" s="38">
        <v>-1.6249028571428601</v>
      </c>
      <c r="AM15">
        <f t="shared" ref="AM15:AM21" si="1">AM4/SQRT(AN4)</f>
        <v>2.7936483492925137</v>
      </c>
      <c r="AP15" t="s">
        <v>74</v>
      </c>
      <c r="AQ15">
        <v>1.7557</v>
      </c>
      <c r="AR15">
        <v>1.44E-2</v>
      </c>
      <c r="AS15">
        <v>1704</v>
      </c>
    </row>
    <row r="16" spans="1:52" ht="12.95" customHeight="1" x14ac:dyDescent="0.15">
      <c r="A16" t="s">
        <v>25</v>
      </c>
      <c r="B16" s="3" t="s">
        <v>20</v>
      </c>
      <c r="C16" s="9">
        <v>1.1318999999999999</v>
      </c>
      <c r="D16" s="9">
        <v>2.3544999999999998</v>
      </c>
      <c r="E16" s="9">
        <v>4.3410000000000002</v>
      </c>
      <c r="F16" s="9">
        <v>5.2778</v>
      </c>
      <c r="G16" s="9">
        <v>13.1052</v>
      </c>
      <c r="H16" s="9">
        <v>8.6370295760461499E-2</v>
      </c>
      <c r="I16" s="9">
        <v>0.26603180416933703</v>
      </c>
      <c r="J16" s="9">
        <v>0.331242560205109</v>
      </c>
      <c r="K16" s="9">
        <v>0.40272563562555302</v>
      </c>
      <c r="L16" s="9">
        <v>0.37758871589327198</v>
      </c>
      <c r="M16" s="9">
        <v>2.54105183421032E-2</v>
      </c>
      <c r="N16" s="9">
        <v>0.12</v>
      </c>
      <c r="O16" s="9">
        <v>179.65799999999999</v>
      </c>
      <c r="P16" s="9">
        <v>186.011458827003</v>
      </c>
      <c r="Q16" s="9">
        <v>0.26603180416933703</v>
      </c>
      <c r="S16" s="3" t="s">
        <v>20</v>
      </c>
      <c r="T16" s="9">
        <v>4.4907674828781996</v>
      </c>
      <c r="U16">
        <v>0.37758999999999998</v>
      </c>
      <c r="V16" s="9">
        <v>-0.64905004714452197</v>
      </c>
      <c r="W16">
        <v>0.12</v>
      </c>
      <c r="X16">
        <v>16.313970489825</v>
      </c>
      <c r="Y16">
        <v>3.7028547522933</v>
      </c>
      <c r="Z16">
        <v>0.26602999999999999</v>
      </c>
      <c r="AD16" s="3" t="s">
        <v>20</v>
      </c>
      <c r="AE16">
        <v>-2.0048599999999999</v>
      </c>
      <c r="AF16">
        <v>2.87853</v>
      </c>
      <c r="AI16" s="39" t="s">
        <v>22</v>
      </c>
      <c r="AJ16" s="40">
        <v>0.139287094142857</v>
      </c>
      <c r="AK16">
        <f t="shared" si="0"/>
        <v>0.37321186227511177</v>
      </c>
      <c r="AL16" s="41">
        <v>3.16771428571428E-2</v>
      </c>
      <c r="AM16">
        <f t="shared" si="1"/>
        <v>4.0148036079283846</v>
      </c>
      <c r="AP16" t="s">
        <v>75</v>
      </c>
      <c r="AQ16">
        <v>2.5274000000000001</v>
      </c>
      <c r="AR16">
        <v>2.9999999999999997E-4</v>
      </c>
      <c r="AS16">
        <v>1714</v>
      </c>
    </row>
    <row r="17" spans="1:45" ht="12.95" customHeight="1" x14ac:dyDescent="0.15">
      <c r="A17" t="s">
        <v>25</v>
      </c>
      <c r="B17" s="3" t="s">
        <v>20</v>
      </c>
      <c r="C17" s="9">
        <v>0.20660000000000001</v>
      </c>
      <c r="D17" s="9">
        <v>0.56810000000000005</v>
      </c>
      <c r="E17" s="9">
        <v>0.97089999999999999</v>
      </c>
      <c r="F17" s="9">
        <v>1.3092999999999999</v>
      </c>
      <c r="G17" s="9">
        <v>3.0548999999999999</v>
      </c>
      <c r="H17" s="9">
        <v>6.7629054960882506E-2</v>
      </c>
      <c r="I17" s="9">
        <v>0.25359258895544901</v>
      </c>
      <c r="J17" s="9">
        <v>0.317817277161282</v>
      </c>
      <c r="K17" s="9">
        <v>0.428590133883269</v>
      </c>
      <c r="L17" s="9">
        <v>0.29450085110017998</v>
      </c>
      <c r="M17" s="9">
        <v>2.0637247616894099E-2</v>
      </c>
      <c r="N17" s="9">
        <v>0.11</v>
      </c>
      <c r="O17" s="9">
        <v>64.502499999999998</v>
      </c>
      <c r="P17" s="9">
        <v>254.884416335304</v>
      </c>
      <c r="Q17" s="9">
        <v>0.25359258895544901</v>
      </c>
      <c r="S17" s="3" t="s">
        <v>20</v>
      </c>
      <c r="T17" s="9">
        <v>1.40706819019334</v>
      </c>
      <c r="U17">
        <v>0.29449999999999998</v>
      </c>
      <c r="V17" s="9">
        <v>-0.64968351543598102</v>
      </c>
      <c r="W17">
        <v>0.11</v>
      </c>
      <c r="X17">
        <v>10.2000536663751</v>
      </c>
      <c r="Y17">
        <v>3.8508057666361899</v>
      </c>
      <c r="Z17">
        <v>0.25358999999999998</v>
      </c>
      <c r="AD17" s="3" t="s">
        <v>20</v>
      </c>
      <c r="AE17">
        <v>-2.3640300000000001</v>
      </c>
      <c r="AF17">
        <v>-0.50343000000000004</v>
      </c>
      <c r="AI17" s="39" t="s">
        <v>21</v>
      </c>
      <c r="AJ17" s="40">
        <v>2.2978142857142898</v>
      </c>
      <c r="AK17">
        <f t="shared" si="0"/>
        <v>1.5158543088682004</v>
      </c>
      <c r="AL17" s="41">
        <v>0.570885714285714</v>
      </c>
      <c r="AM17">
        <f t="shared" si="1"/>
        <v>0.95204784117309216</v>
      </c>
      <c r="AP17" t="s">
        <v>76</v>
      </c>
      <c r="AQ17">
        <v>2.0640000000000001</v>
      </c>
      <c r="AR17">
        <v>2.0999999999999999E-3</v>
      </c>
      <c r="AS17">
        <v>1712</v>
      </c>
    </row>
    <row r="18" spans="1:45" ht="12.95" customHeight="1" x14ac:dyDescent="0.15">
      <c r="A18" t="s">
        <v>25</v>
      </c>
      <c r="B18" s="3" t="s">
        <v>20</v>
      </c>
      <c r="C18" s="9">
        <v>0.1759</v>
      </c>
      <c r="D18" s="9">
        <v>0.54810000000000003</v>
      </c>
      <c r="E18" s="9">
        <v>0.71050000000000002</v>
      </c>
      <c r="F18" s="9">
        <v>0.98440000000000005</v>
      </c>
      <c r="G18" s="9">
        <v>2.4188999999999998</v>
      </c>
      <c r="H18" s="9">
        <v>7.2719004506180504E-2</v>
      </c>
      <c r="I18" s="9">
        <v>0.29930960353879899</v>
      </c>
      <c r="J18" s="9">
        <v>0.29372855430154199</v>
      </c>
      <c r="K18" s="9">
        <v>0.40696184215965903</v>
      </c>
      <c r="L18" s="9">
        <v>0.37560813773685098</v>
      </c>
      <c r="M18" s="9">
        <v>2.4863425418961999E-2</v>
      </c>
      <c r="N18" s="9">
        <v>9.5000000000000001E-2</v>
      </c>
      <c r="O18" s="9">
        <v>43.643000000000001</v>
      </c>
      <c r="P18" s="9">
        <v>226.41544227524301</v>
      </c>
      <c r="Q18" s="9">
        <v>0.29930960353879899</v>
      </c>
      <c r="S18" s="3" t="s">
        <v>20</v>
      </c>
      <c r="T18" s="9">
        <v>1.05902147266423</v>
      </c>
      <c r="U18">
        <v>0.37561</v>
      </c>
      <c r="V18" s="9">
        <v>-0.64912663180725805</v>
      </c>
      <c r="W18">
        <v>9.5000000000000001E-2</v>
      </c>
      <c r="X18">
        <v>8.4282362164829703</v>
      </c>
      <c r="Y18">
        <v>3.79594329148386</v>
      </c>
      <c r="Z18">
        <v>0.29931000000000002</v>
      </c>
      <c r="AD18" s="3" t="s">
        <v>20</v>
      </c>
      <c r="AE18">
        <v>-1.9676100000000001</v>
      </c>
      <c r="AF18">
        <v>-0.39306000000000002</v>
      </c>
      <c r="AI18" s="39" t="s">
        <v>23</v>
      </c>
      <c r="AJ18" s="40">
        <v>1.6524842857142901</v>
      </c>
      <c r="AK18">
        <f t="shared" si="0"/>
        <v>1.2854899010549599</v>
      </c>
      <c r="AL18" s="41">
        <v>-0.119348571428572</v>
      </c>
      <c r="AM18">
        <f t="shared" si="1"/>
        <v>1.5143002900974907</v>
      </c>
      <c r="AP18" t="s">
        <v>77</v>
      </c>
      <c r="AQ18">
        <v>2.0697000000000001</v>
      </c>
      <c r="AR18">
        <v>4.1000000000000003E-3</v>
      </c>
      <c r="AS18">
        <v>1709</v>
      </c>
    </row>
    <row r="19" spans="1:45" ht="12.95" customHeight="1" x14ac:dyDescent="0.15">
      <c r="A19" t="s">
        <v>25</v>
      </c>
      <c r="B19" s="3" t="s">
        <v>20</v>
      </c>
      <c r="C19" s="9">
        <v>0.27529999999999999</v>
      </c>
      <c r="D19" s="9">
        <v>0.89900000000000002</v>
      </c>
      <c r="E19" s="9">
        <v>2.2538999999999998</v>
      </c>
      <c r="F19" s="9">
        <v>2.3300999999999998</v>
      </c>
      <c r="G19" s="9">
        <v>5.7583000000000002</v>
      </c>
      <c r="H19" s="9">
        <v>4.7809249257593403E-2</v>
      </c>
      <c r="I19" s="9">
        <v>0.20393171595783499</v>
      </c>
      <c r="J19" s="9">
        <v>0.39141760589062702</v>
      </c>
      <c r="K19" s="9">
        <v>0.40465067815153799</v>
      </c>
      <c r="L19" s="9">
        <v>0.28426984829306901</v>
      </c>
      <c r="M19" s="9">
        <v>2.52131115142426E-2</v>
      </c>
      <c r="N19" s="9">
        <v>0.09</v>
      </c>
      <c r="O19" s="9">
        <v>65.0595</v>
      </c>
      <c r="P19" s="9">
        <v>287.32071262004098</v>
      </c>
      <c r="Q19" s="9">
        <v>0.20393171595783499</v>
      </c>
      <c r="S19" s="3" t="s">
        <v>20</v>
      </c>
      <c r="T19" s="9">
        <v>2.5333587051172102</v>
      </c>
      <c r="U19">
        <v>0.28427000000000002</v>
      </c>
      <c r="V19" s="9">
        <v>-0.649077999844904</v>
      </c>
      <c r="W19">
        <v>0.09</v>
      </c>
      <c r="X19">
        <v>10.242089126979</v>
      </c>
      <c r="Y19">
        <v>3.90537350092039</v>
      </c>
      <c r="Z19">
        <v>0.20393</v>
      </c>
      <c r="AD19" s="3" t="s">
        <v>20</v>
      </c>
      <c r="AE19">
        <v>-3.4845899999999999</v>
      </c>
      <c r="AF19">
        <v>9.3689999999999996E-2</v>
      </c>
      <c r="AI19" s="39" t="s">
        <v>19</v>
      </c>
      <c r="AJ19" s="40">
        <v>-1.14252714285714</v>
      </c>
      <c r="AK19" t="e">
        <f t="shared" si="0"/>
        <v>#NUM!</v>
      </c>
      <c r="AL19" s="41">
        <v>0.79820571428571396</v>
      </c>
      <c r="AM19" t="e">
        <f t="shared" si="1"/>
        <v>#NUM!</v>
      </c>
      <c r="AP19" t="s">
        <v>78</v>
      </c>
      <c r="AQ19">
        <v>4.0068000000000001</v>
      </c>
      <c r="AR19">
        <v>6.9999999999999999E-4</v>
      </c>
      <c r="AS19">
        <v>1710</v>
      </c>
    </row>
    <row r="20" spans="1:45" ht="12.95" customHeight="1" x14ac:dyDescent="0.15">
      <c r="A20" t="s">
        <v>25</v>
      </c>
      <c r="B20" s="3" t="s">
        <v>20</v>
      </c>
      <c r="C20" s="9">
        <v>0.26700000000000002</v>
      </c>
      <c r="D20" s="9">
        <v>0.71330000000000005</v>
      </c>
      <c r="E20" s="9">
        <v>1.2583</v>
      </c>
      <c r="F20" s="9">
        <v>1.7119</v>
      </c>
      <c r="G20" s="9">
        <v>3.9504999999999999</v>
      </c>
      <c r="H20" s="9">
        <v>6.7586381470699897E-2</v>
      </c>
      <c r="I20" s="9">
        <v>0.24814580432856601</v>
      </c>
      <c r="J20" s="9">
        <v>0.31851664346285302</v>
      </c>
      <c r="K20" s="9">
        <v>0.433337552208581</v>
      </c>
      <c r="L20" s="9">
        <v>0.35055820506729102</v>
      </c>
      <c r="M20" s="9">
        <v>1.88866755244523E-2</v>
      </c>
      <c r="N20" s="9">
        <v>0.1</v>
      </c>
      <c r="O20" s="9">
        <v>79.010499999999993</v>
      </c>
      <c r="P20" s="9">
        <v>232.041274819275</v>
      </c>
      <c r="Q20" s="9">
        <v>0.24814580432856601</v>
      </c>
      <c r="S20" s="3" t="s">
        <v>20</v>
      </c>
      <c r="T20" s="9">
        <v>1.8298421122239099</v>
      </c>
      <c r="U20">
        <v>0.35055999999999998</v>
      </c>
      <c r="V20" s="9">
        <v>-0.64989776285581502</v>
      </c>
      <c r="W20">
        <v>0.1</v>
      </c>
      <c r="X20">
        <v>11.229483056570601</v>
      </c>
      <c r="Y20">
        <v>3.8073873407961698</v>
      </c>
      <c r="Z20">
        <v>0.24815000000000001</v>
      </c>
      <c r="AD20" s="3" t="s">
        <v>20</v>
      </c>
      <c r="AE20">
        <v>-2.04284</v>
      </c>
      <c r="AF20">
        <v>-0.25408999999999998</v>
      </c>
      <c r="AI20" s="39" t="s">
        <v>18</v>
      </c>
      <c r="AJ20" s="40">
        <v>-1.2453471428571401</v>
      </c>
      <c r="AK20" t="e">
        <f t="shared" si="0"/>
        <v>#NUM!</v>
      </c>
      <c r="AL20" s="41">
        <v>-1.6152995142857101E-2</v>
      </c>
      <c r="AM20" t="e">
        <f t="shared" si="1"/>
        <v>#NUM!</v>
      </c>
      <c r="AP20" t="s">
        <v>79</v>
      </c>
      <c r="AQ20">
        <v>2.0649999999999999</v>
      </c>
      <c r="AR20">
        <v>7.6E-3</v>
      </c>
      <c r="AS20">
        <v>1706</v>
      </c>
    </row>
    <row r="21" spans="1:45" ht="12.95" customHeight="1" x14ac:dyDescent="0.15">
      <c r="A21" t="s">
        <v>25</v>
      </c>
      <c r="B21" s="3" t="s">
        <v>20</v>
      </c>
      <c r="C21" s="9">
        <v>0.25629999999999997</v>
      </c>
      <c r="D21" s="9">
        <v>0.48709999999999998</v>
      </c>
      <c r="E21" s="9">
        <v>1.0290999999999999</v>
      </c>
      <c r="F21" s="9">
        <v>1.6001000000000001</v>
      </c>
      <c r="G21" s="9">
        <v>3.3725999999999998</v>
      </c>
      <c r="H21" s="9">
        <v>7.5994781474233497E-2</v>
      </c>
      <c r="I21" s="9">
        <v>0.220423412204234</v>
      </c>
      <c r="J21" s="9">
        <v>0.30513550376564103</v>
      </c>
      <c r="K21" s="9">
        <v>0.47444108403012503</v>
      </c>
      <c r="L21" s="9">
        <v>0.371798737773127</v>
      </c>
      <c r="M21" s="9">
        <v>2.0131141100929499E-2</v>
      </c>
      <c r="N21" s="9">
        <v>0.11</v>
      </c>
      <c r="O21" s="9">
        <v>79.72</v>
      </c>
      <c r="P21" s="9">
        <v>197.40926449723301</v>
      </c>
      <c r="Q21" s="9">
        <v>0.220423412204234</v>
      </c>
      <c r="S21" s="3" t="s">
        <v>20</v>
      </c>
      <c r="T21" s="9">
        <v>1.56464985743373</v>
      </c>
      <c r="U21">
        <v>0.37180000000000002</v>
      </c>
      <c r="V21" s="9">
        <v>-0.64974699877086395</v>
      </c>
      <c r="W21">
        <v>0.11</v>
      </c>
      <c r="X21">
        <v>11.2766982241041</v>
      </c>
      <c r="Y21">
        <v>3.7312904687150001</v>
      </c>
      <c r="Z21">
        <v>0.22042</v>
      </c>
      <c r="AD21" s="3" t="s">
        <v>20</v>
      </c>
      <c r="AE21">
        <v>-1.6644600000000001</v>
      </c>
      <c r="AF21">
        <v>0.14729</v>
      </c>
      <c r="AI21" s="39" t="s">
        <v>20</v>
      </c>
      <c r="AJ21" s="42">
        <v>-2.04142571428571</v>
      </c>
      <c r="AK21" t="e">
        <f t="shared" si="0"/>
        <v>#NUM!</v>
      </c>
      <c r="AL21" s="43">
        <v>0.35963142857142799</v>
      </c>
      <c r="AM21" t="e">
        <f t="shared" si="1"/>
        <v>#NUM!</v>
      </c>
      <c r="AP21" t="s">
        <v>80</v>
      </c>
      <c r="AQ21">
        <v>2.6398999999999999</v>
      </c>
      <c r="AR21">
        <v>8.0000000000000004E-4</v>
      </c>
      <c r="AS21">
        <v>1701</v>
      </c>
    </row>
    <row r="22" spans="1:45" ht="12.95" customHeight="1" x14ac:dyDescent="0.15">
      <c r="A22" t="s">
        <v>25</v>
      </c>
      <c r="B22" s="3" t="s">
        <v>20</v>
      </c>
      <c r="C22" s="9">
        <v>0.81940000000000002</v>
      </c>
      <c r="D22" s="9">
        <v>1.7677</v>
      </c>
      <c r="E22" s="9">
        <v>2.5876000000000001</v>
      </c>
      <c r="F22" s="9">
        <v>2.9032</v>
      </c>
      <c r="G22" s="9">
        <v>8.0778999999999996</v>
      </c>
      <c r="H22" s="9">
        <v>0.101437254732047</v>
      </c>
      <c r="I22" s="9">
        <v>0.32026888176382501</v>
      </c>
      <c r="J22" s="9">
        <v>0.32033077903910701</v>
      </c>
      <c r="K22" s="9">
        <v>0.35940033919706799</v>
      </c>
      <c r="L22" s="9">
        <v>0.42985193696049201</v>
      </c>
      <c r="M22" s="9">
        <v>1.90629831388229E-2</v>
      </c>
      <c r="N22" s="9">
        <v>0.1</v>
      </c>
      <c r="O22" s="9">
        <v>67.891999999999996</v>
      </c>
      <c r="P22" s="9">
        <v>183.046345968005</v>
      </c>
      <c r="Q22" s="9">
        <v>0.32026888176382501</v>
      </c>
      <c r="S22" s="3" t="s">
        <v>20</v>
      </c>
      <c r="T22" s="9">
        <v>3.2621675506586301</v>
      </c>
      <c r="U22">
        <v>0.42985000000000001</v>
      </c>
      <c r="V22" s="9">
        <v>-0.64987739807235301</v>
      </c>
      <c r="W22">
        <v>0.1</v>
      </c>
      <c r="X22">
        <v>10.452473653667001</v>
      </c>
      <c r="Y22">
        <v>3.69513064621164</v>
      </c>
      <c r="Z22">
        <v>0.32027</v>
      </c>
      <c r="AD22" s="3" t="s">
        <v>20</v>
      </c>
      <c r="AE22">
        <v>-0.76158999999999999</v>
      </c>
      <c r="AF22">
        <v>0.54849000000000003</v>
      </c>
      <c r="AP22" t="s">
        <v>81</v>
      </c>
      <c r="AQ22">
        <v>2.6335000000000002</v>
      </c>
      <c r="AR22">
        <v>2.8E-3</v>
      </c>
      <c r="AS22">
        <v>1707</v>
      </c>
    </row>
    <row r="23" spans="1:45" ht="12.95" customHeight="1" x14ac:dyDescent="0.15">
      <c r="A23" t="s">
        <v>25</v>
      </c>
      <c r="B23" s="3" t="s">
        <v>21</v>
      </c>
      <c r="C23" s="9">
        <v>2.7418999999999998</v>
      </c>
      <c r="D23" s="9">
        <v>0.27950000000000003</v>
      </c>
      <c r="E23" s="9">
        <v>0.50080000000000002</v>
      </c>
      <c r="F23" s="9">
        <v>0.69420000000000004</v>
      </c>
      <c r="G23" s="9">
        <v>4.2164000000000001</v>
      </c>
      <c r="H23" s="9">
        <v>0.65029408974480596</v>
      </c>
      <c r="I23" s="9">
        <v>0.71658286690067396</v>
      </c>
      <c r="J23" s="9">
        <v>0.118774309837776</v>
      </c>
      <c r="K23" s="9">
        <v>0.16464282326155</v>
      </c>
      <c r="L23" s="9">
        <v>0.34664684175857302</v>
      </c>
      <c r="M23" s="9">
        <v>8.2770985041369094E-3</v>
      </c>
      <c r="N23" s="9">
        <v>0.13500000000000001</v>
      </c>
      <c r="O23" s="9">
        <v>15.426</v>
      </c>
      <c r="P23" s="9">
        <v>198.636519811391</v>
      </c>
      <c r="Q23" s="9">
        <v>0.71658286690067396</v>
      </c>
      <c r="S23" s="3" t="s">
        <v>21</v>
      </c>
      <c r="T23" s="9">
        <v>1.9440257613037999</v>
      </c>
      <c r="U23">
        <v>0.34665000000000001</v>
      </c>
      <c r="V23" s="9">
        <v>-0.65095369915884105</v>
      </c>
      <c r="W23">
        <v>0.13500000000000001</v>
      </c>
      <c r="X23">
        <v>4.8151458579903101</v>
      </c>
      <c r="Y23">
        <v>3.7342401841263899</v>
      </c>
      <c r="Z23">
        <v>0.71657999999999999</v>
      </c>
      <c r="AD23" s="3" t="s">
        <v>21</v>
      </c>
      <c r="AE23">
        <v>1.8612500000000001</v>
      </c>
      <c r="AF23">
        <v>-2.0348299999999999</v>
      </c>
      <c r="AP23" t="s">
        <v>82</v>
      </c>
      <c r="AQ23">
        <v>4.4339000000000004</v>
      </c>
      <c r="AR23">
        <v>6.9999999999999999E-4</v>
      </c>
      <c r="AS23">
        <v>1709</v>
      </c>
    </row>
    <row r="24" spans="1:45" ht="12.95" customHeight="1" x14ac:dyDescent="0.15">
      <c r="A24" t="s">
        <v>25</v>
      </c>
      <c r="B24" s="3" t="s">
        <v>21</v>
      </c>
      <c r="C24" s="9">
        <v>3.9660000000000002</v>
      </c>
      <c r="D24" s="9">
        <v>3.0007999999999999</v>
      </c>
      <c r="E24" s="9">
        <v>2.5019999999999998</v>
      </c>
      <c r="F24" s="9">
        <v>3.4828999999999999</v>
      </c>
      <c r="G24" s="9">
        <v>12.951700000000001</v>
      </c>
      <c r="H24" s="9">
        <v>0.30621462819552597</v>
      </c>
      <c r="I24" s="9">
        <v>0.53790622080499095</v>
      </c>
      <c r="J24" s="9">
        <v>0.19317927376329</v>
      </c>
      <c r="K24" s="9">
        <v>0.26891450543171902</v>
      </c>
      <c r="L24" s="9">
        <v>0.51600647519045795</v>
      </c>
      <c r="M24" s="9">
        <v>1.9975717938372699E-2</v>
      </c>
      <c r="N24" s="9">
        <v>0.15</v>
      </c>
      <c r="O24" s="9">
        <v>46.869500000000002</v>
      </c>
      <c r="P24" s="9">
        <v>107.23827992120199</v>
      </c>
      <c r="Q24" s="9">
        <v>0.53790622080499095</v>
      </c>
      <c r="S24" s="3" t="s">
        <v>21</v>
      </c>
      <c r="T24" s="9">
        <v>4.4579480096203499</v>
      </c>
      <c r="U24">
        <v>0.51600999999999997</v>
      </c>
      <c r="V24" s="9">
        <v>-0.649765508055963</v>
      </c>
      <c r="W24">
        <v>0.15</v>
      </c>
      <c r="X24">
        <v>8.7323852391802799</v>
      </c>
      <c r="Y24">
        <v>3.4279201237338</v>
      </c>
      <c r="Z24">
        <v>0.53791</v>
      </c>
      <c r="AD24" s="3" t="s">
        <v>21</v>
      </c>
      <c r="AE24">
        <v>2.6148699999999998</v>
      </c>
      <c r="AF24">
        <v>2.0387300000000002</v>
      </c>
      <c r="AP24" t="s">
        <v>83</v>
      </c>
      <c r="AQ24">
        <v>2.4032</v>
      </c>
      <c r="AR24">
        <v>5.9999999999999995E-4</v>
      </c>
      <c r="AS24">
        <v>1711</v>
      </c>
    </row>
    <row r="25" spans="1:45" ht="12.95" customHeight="1" x14ac:dyDescent="0.15">
      <c r="A25" t="s">
        <v>25</v>
      </c>
      <c r="B25" s="3" t="s">
        <v>21</v>
      </c>
      <c r="C25" s="9">
        <v>5.4292999999999996</v>
      </c>
      <c r="D25" s="9">
        <v>3.6882000000000001</v>
      </c>
      <c r="E25" s="9">
        <v>4.1502999999999997</v>
      </c>
      <c r="F25" s="9">
        <v>4.5528000000000004</v>
      </c>
      <c r="G25" s="9">
        <v>17.820599999999999</v>
      </c>
      <c r="H25" s="9">
        <v>0.30466426495179699</v>
      </c>
      <c r="I25" s="9">
        <v>0.51162699347945595</v>
      </c>
      <c r="J25" s="9">
        <v>0.23289339303951601</v>
      </c>
      <c r="K25" s="9">
        <v>0.25547961348102799</v>
      </c>
      <c r="L25" s="9">
        <v>0.52287383427638601</v>
      </c>
      <c r="M25" s="9">
        <v>1.72453020910339E-2</v>
      </c>
      <c r="N25" s="9">
        <v>0.13</v>
      </c>
      <c r="O25" s="9">
        <v>36.587000000000003</v>
      </c>
      <c r="P25" s="9">
        <v>110.554866654078</v>
      </c>
      <c r="Q25" s="9">
        <v>0.51162699347945595</v>
      </c>
      <c r="S25" s="3" t="s">
        <v>21</v>
      </c>
      <c r="T25" s="9">
        <v>5.40375436492553</v>
      </c>
      <c r="U25">
        <v>0.52286999999999995</v>
      </c>
      <c r="V25" s="9">
        <v>-0.65008913488686004</v>
      </c>
      <c r="W25">
        <v>0.13</v>
      </c>
      <c r="X25">
        <v>7.71072259034975</v>
      </c>
      <c r="Y25">
        <v>3.4436866494710601</v>
      </c>
      <c r="Z25">
        <v>0.51163000000000003</v>
      </c>
      <c r="AD25" s="3" t="s">
        <v>21</v>
      </c>
      <c r="AE25">
        <v>2.48285</v>
      </c>
      <c r="AF25">
        <v>1.70007</v>
      </c>
      <c r="AP25" t="s">
        <v>84</v>
      </c>
      <c r="AQ25">
        <v>3.2153999999999998</v>
      </c>
      <c r="AR25">
        <v>4.0000000000000002E-4</v>
      </c>
      <c r="AS25">
        <v>1707</v>
      </c>
    </row>
    <row r="26" spans="1:45" ht="12.95" customHeight="1" x14ac:dyDescent="0.15">
      <c r="A26" t="s">
        <v>25</v>
      </c>
      <c r="B26" s="3" t="s">
        <v>21</v>
      </c>
      <c r="C26" s="9">
        <v>2.6916000000000002</v>
      </c>
      <c r="D26" s="9">
        <v>1.1456999999999999</v>
      </c>
      <c r="E26" s="9">
        <v>1.2789999999999999</v>
      </c>
      <c r="F26" s="9">
        <v>1.8966000000000001</v>
      </c>
      <c r="G26" s="9">
        <v>7.0129000000000001</v>
      </c>
      <c r="H26" s="9">
        <v>0.38380698427184201</v>
      </c>
      <c r="I26" s="9">
        <v>0.54717734460779399</v>
      </c>
      <c r="J26" s="9">
        <v>0.18237818876641601</v>
      </c>
      <c r="K26" s="9">
        <v>0.27044446662579003</v>
      </c>
      <c r="L26" s="9">
        <v>0.48928301527323498</v>
      </c>
      <c r="M26" s="9">
        <v>1.50575606326071E-2</v>
      </c>
      <c r="N26" s="9">
        <v>0.13500000000000001</v>
      </c>
      <c r="O26" s="9">
        <v>37.728000000000002</v>
      </c>
      <c r="P26" s="9">
        <v>151.171559343854</v>
      </c>
      <c r="Q26" s="9">
        <v>0.54717734460779399</v>
      </c>
      <c r="S26" s="3" t="s">
        <v>21</v>
      </c>
      <c r="T26" s="9">
        <v>2.9457458695909899</v>
      </c>
      <c r="U26">
        <v>0.48927999999999999</v>
      </c>
      <c r="V26" s="9">
        <v>-0.65032978908973305</v>
      </c>
      <c r="W26">
        <v>0.13500000000000001</v>
      </c>
      <c r="X26">
        <v>7.8322338648856702</v>
      </c>
      <c r="Y26">
        <v>3.6018121831764902</v>
      </c>
      <c r="Z26">
        <v>0.54718</v>
      </c>
      <c r="AD26" s="3" t="s">
        <v>21</v>
      </c>
      <c r="AE26">
        <v>1.9575400000000001</v>
      </c>
      <c r="AF26">
        <v>0.21285999999999999</v>
      </c>
      <c r="AP26" t="s">
        <v>85</v>
      </c>
      <c r="AQ26">
        <v>2.5301</v>
      </c>
      <c r="AR26">
        <v>8.9999999999999998E-4</v>
      </c>
      <c r="AS26">
        <v>1707</v>
      </c>
    </row>
    <row r="27" spans="1:45" ht="12.95" customHeight="1" x14ac:dyDescent="0.15">
      <c r="A27" t="s">
        <v>25</v>
      </c>
      <c r="B27" s="3" t="s">
        <v>21</v>
      </c>
      <c r="C27" s="9">
        <v>2.1800999999999999</v>
      </c>
      <c r="D27" s="9">
        <v>0.78490000000000004</v>
      </c>
      <c r="E27" s="9">
        <v>0.69789999999999996</v>
      </c>
      <c r="F27" s="9">
        <v>1.0712999999999999</v>
      </c>
      <c r="G27" s="9">
        <v>4.7342000000000004</v>
      </c>
      <c r="H27" s="9">
        <v>0.46050019010603699</v>
      </c>
      <c r="I27" s="9">
        <v>0.62629377719572499</v>
      </c>
      <c r="J27" s="9">
        <v>0.14741667018714899</v>
      </c>
      <c r="K27" s="9">
        <v>0.22628955261712599</v>
      </c>
      <c r="L27" s="9">
        <v>0.406139929353735</v>
      </c>
      <c r="M27" s="9">
        <v>1.56176513781258E-2</v>
      </c>
      <c r="N27" s="9">
        <v>0.15</v>
      </c>
      <c r="O27" s="9">
        <v>32.601500000000001</v>
      </c>
      <c r="P27" s="9">
        <v>157.417660396055</v>
      </c>
      <c r="Q27" s="9">
        <v>0.62629377719572499</v>
      </c>
      <c r="S27" s="3" t="s">
        <v>21</v>
      </c>
      <c r="T27" s="9">
        <v>2.15454555755213</v>
      </c>
      <c r="U27">
        <v>0.40614</v>
      </c>
      <c r="V27" s="9">
        <v>-0.65026992293899499</v>
      </c>
      <c r="W27">
        <v>0.15</v>
      </c>
      <c r="X27">
        <v>7.2668384543375897</v>
      </c>
      <c r="Y27">
        <v>3.6217694676018302</v>
      </c>
      <c r="Z27">
        <v>0.62629000000000001</v>
      </c>
      <c r="AD27" s="3" t="s">
        <v>21</v>
      </c>
      <c r="AE27">
        <v>1.9182399999999999</v>
      </c>
      <c r="AF27">
        <v>-0.28575</v>
      </c>
      <c r="AP27" t="s">
        <v>86</v>
      </c>
      <c r="AQ27">
        <v>2.2035</v>
      </c>
      <c r="AR27">
        <v>7.3000000000000001E-3</v>
      </c>
      <c r="AS27">
        <v>1709</v>
      </c>
    </row>
    <row r="28" spans="1:45" ht="12.95" customHeight="1" x14ac:dyDescent="0.15">
      <c r="A28" t="s">
        <v>25</v>
      </c>
      <c r="B28" s="3" t="s">
        <v>21</v>
      </c>
      <c r="C28" s="9">
        <v>3.23</v>
      </c>
      <c r="D28" s="9">
        <v>3.2974999999999999</v>
      </c>
      <c r="E28" s="9">
        <v>3.8243999999999998</v>
      </c>
      <c r="F28" s="9">
        <v>3.0983000000000001</v>
      </c>
      <c r="G28" s="9">
        <f>SUM(C28:F28)</f>
        <v>13.450200000000001</v>
      </c>
      <c r="H28" s="9">
        <v>0.53301500993808704</v>
      </c>
      <c r="I28" s="9">
        <v>0.68368554522400704</v>
      </c>
      <c r="J28" s="9">
        <v>0.17474583628429799</v>
      </c>
      <c r="K28" s="9">
        <v>0.141568618491695</v>
      </c>
      <c r="L28" s="9">
        <v>0.50956872947910103</v>
      </c>
      <c r="M28" s="9">
        <v>1.7129723373504799E-2</v>
      </c>
      <c r="N28" s="9">
        <v>0.15</v>
      </c>
      <c r="O28" s="9">
        <v>45.953000000000003</v>
      </c>
      <c r="P28" s="9">
        <v>114.90304640645699</v>
      </c>
      <c r="Q28" s="9">
        <f>(C28+D28)/G28</f>
        <v>0.48530876864284545</v>
      </c>
      <c r="S28" s="3" t="s">
        <v>21</v>
      </c>
      <c r="T28" s="9">
        <v>4.5636974294258303</v>
      </c>
      <c r="U28">
        <v>0.50956999999999997</v>
      </c>
      <c r="V28" s="9">
        <v>-0.65010276965427904</v>
      </c>
      <c r="W28">
        <v>0.15</v>
      </c>
      <c r="X28">
        <v>8.6473455943106696</v>
      </c>
      <c r="Y28">
        <v>3.4635588664185</v>
      </c>
      <c r="Z28">
        <v>0.48531000000000002</v>
      </c>
      <c r="AD28" s="3" t="s">
        <v>21</v>
      </c>
      <c r="AE28">
        <v>2.4933800000000002</v>
      </c>
      <c r="AF28">
        <v>1.7599199999999999</v>
      </c>
      <c r="AP28" t="s">
        <v>87</v>
      </c>
      <c r="AQ28">
        <v>1.1854</v>
      </c>
      <c r="AR28">
        <v>0.21859999999999999</v>
      </c>
      <c r="AS28">
        <v>1712</v>
      </c>
    </row>
    <row r="29" spans="1:45" ht="12.95" customHeight="1" x14ac:dyDescent="0.15">
      <c r="A29" t="s">
        <v>25</v>
      </c>
      <c r="B29" s="3" t="s">
        <v>21</v>
      </c>
      <c r="C29" s="9">
        <v>1.8794999999999999</v>
      </c>
      <c r="D29" s="9">
        <v>2.5175999999999998</v>
      </c>
      <c r="E29" s="9">
        <v>1.9591000000000001</v>
      </c>
      <c r="F29" s="9">
        <v>2.3079999999999998</v>
      </c>
      <c r="G29" s="9">
        <v>8.6641999999999992</v>
      </c>
      <c r="H29" s="9">
        <v>0.21692712541261699</v>
      </c>
      <c r="I29" s="9">
        <v>0.50750213522310195</v>
      </c>
      <c r="J29" s="9">
        <v>0.226114355624293</v>
      </c>
      <c r="K29" s="9">
        <v>0.266383509152605</v>
      </c>
      <c r="L29" s="9">
        <v>0.42631618051551801</v>
      </c>
      <c r="M29" s="9">
        <v>1.17447584535932E-2</v>
      </c>
      <c r="N29" s="9">
        <v>0.17</v>
      </c>
      <c r="O29" s="9">
        <v>34.036999999999999</v>
      </c>
      <c r="P29" s="9">
        <v>121.897854258737</v>
      </c>
      <c r="Q29" s="9">
        <v>0.50750213522310195</v>
      </c>
      <c r="S29" s="3" t="s">
        <v>21</v>
      </c>
      <c r="T29" s="9">
        <v>3.42572625092403</v>
      </c>
      <c r="U29">
        <v>0.42631999999999998</v>
      </c>
      <c r="V29" s="9">
        <v>-0.650659726227789</v>
      </c>
      <c r="W29">
        <v>0.17</v>
      </c>
      <c r="X29">
        <v>7.4304018445808797</v>
      </c>
      <c r="Y29">
        <v>3.4937926060611399</v>
      </c>
      <c r="Z29">
        <v>0.50749999999999995</v>
      </c>
      <c r="AD29" s="3" t="s">
        <v>21</v>
      </c>
      <c r="AE29">
        <v>2.75657</v>
      </c>
      <c r="AF29">
        <v>0.60519999999999996</v>
      </c>
      <c r="AP29" t="s">
        <v>88</v>
      </c>
      <c r="AQ29">
        <v>2.4413999999999998</v>
      </c>
      <c r="AR29">
        <v>3.5000000000000001E-3</v>
      </c>
      <c r="AS29">
        <v>1708</v>
      </c>
    </row>
    <row r="30" spans="1:45" ht="12.95" customHeight="1" x14ac:dyDescent="0.15">
      <c r="A30" t="s">
        <v>25</v>
      </c>
      <c r="B30" s="3" t="s">
        <v>22</v>
      </c>
      <c r="C30" s="9">
        <v>0.3533</v>
      </c>
      <c r="D30" s="9">
        <v>1.0701000000000001</v>
      </c>
      <c r="E30" s="9">
        <v>0.94220000000000004</v>
      </c>
      <c r="F30" s="9">
        <v>1.1940999999999999</v>
      </c>
      <c r="G30" s="9">
        <v>3.5596999999999999</v>
      </c>
      <c r="H30" s="9">
        <v>9.9249936792426302E-2</v>
      </c>
      <c r="I30" s="9">
        <v>0.399865157176167</v>
      </c>
      <c r="J30" s="9">
        <v>0.26468522628311397</v>
      </c>
      <c r="K30" s="9">
        <v>0.33544961654071997</v>
      </c>
      <c r="L30" s="9">
        <v>0.35689511643761901</v>
      </c>
      <c r="M30" s="9">
        <v>1.3821971556748599E-2</v>
      </c>
      <c r="N30" s="9">
        <v>0.11</v>
      </c>
      <c r="O30" s="9">
        <v>32.588000000000001</v>
      </c>
      <c r="P30" s="9">
        <v>200.81873934146699</v>
      </c>
      <c r="Q30" s="9">
        <v>0.399865157176167</v>
      </c>
      <c r="S30" s="3" t="s">
        <v>22</v>
      </c>
      <c r="T30" s="9">
        <v>1.65330640569168</v>
      </c>
      <c r="U30">
        <v>0.3569</v>
      </c>
      <c r="V30" s="9">
        <v>-0.650458120695242</v>
      </c>
      <c r="W30">
        <v>0.11</v>
      </c>
      <c r="X30">
        <v>7.2652792682724003</v>
      </c>
      <c r="Y30">
        <v>3.7394341637677</v>
      </c>
      <c r="Z30">
        <v>0.39987</v>
      </c>
      <c r="AD30" s="3" t="s">
        <v>22</v>
      </c>
      <c r="AE30">
        <v>-0.27433000000000002</v>
      </c>
      <c r="AF30">
        <v>-1.33117</v>
      </c>
      <c r="AP30" t="s">
        <v>89</v>
      </c>
      <c r="AQ30">
        <v>1.476</v>
      </c>
      <c r="AR30">
        <v>9.7000000000000003E-2</v>
      </c>
      <c r="AS30">
        <v>1707</v>
      </c>
    </row>
    <row r="31" spans="1:45" ht="12.95" customHeight="1" x14ac:dyDescent="0.15">
      <c r="A31" t="s">
        <v>25</v>
      </c>
      <c r="B31" s="3" t="s">
        <v>22</v>
      </c>
      <c r="C31" s="9">
        <v>1.3205</v>
      </c>
      <c r="D31" s="9">
        <v>2.4020999999999999</v>
      </c>
      <c r="E31" s="9">
        <v>2.3847</v>
      </c>
      <c r="F31" s="9">
        <v>2.87</v>
      </c>
      <c r="G31" s="9">
        <v>8.9772999999999996</v>
      </c>
      <c r="H31" s="9">
        <v>0.147093224020585</v>
      </c>
      <c r="I31" s="9">
        <v>0.41466810733739501</v>
      </c>
      <c r="J31" s="9">
        <v>0.265636661356978</v>
      </c>
      <c r="K31" s="9">
        <v>0.31969523130562599</v>
      </c>
      <c r="L31" s="9">
        <v>0.293789401582633</v>
      </c>
      <c r="M31" s="9">
        <v>1.6768053451823899E-2</v>
      </c>
      <c r="N31" s="9">
        <v>0.13</v>
      </c>
      <c r="O31" s="9">
        <v>27.419499999999999</v>
      </c>
      <c r="P31" s="9">
        <v>227.942037010288</v>
      </c>
      <c r="Q31" s="9">
        <v>0.41466810733739501</v>
      </c>
      <c r="S31" s="3" t="s">
        <v>22</v>
      </c>
      <c r="T31" s="9">
        <v>3.51035476270805</v>
      </c>
      <c r="U31">
        <v>0.29379</v>
      </c>
      <c r="V31" s="9">
        <v>-0.65014336712432397</v>
      </c>
      <c r="W31">
        <v>0.13</v>
      </c>
      <c r="X31">
        <v>6.6361285114487902</v>
      </c>
      <c r="Y31">
        <v>3.7990804902639899</v>
      </c>
      <c r="Z31">
        <v>0.41466999999999998</v>
      </c>
      <c r="AD31" s="3" t="s">
        <v>22</v>
      </c>
      <c r="AE31">
        <v>-0.43269999999999997</v>
      </c>
      <c r="AF31">
        <v>-0.45206000000000002</v>
      </c>
      <c r="AP31" t="s">
        <v>90</v>
      </c>
      <c r="AQ31">
        <v>1.4500999999999999</v>
      </c>
      <c r="AR31">
        <v>8.3900000000000002E-2</v>
      </c>
      <c r="AS31">
        <v>1711</v>
      </c>
    </row>
    <row r="32" spans="1:45" ht="12.95" customHeight="1" x14ac:dyDescent="0.15">
      <c r="A32" t="s">
        <v>25</v>
      </c>
      <c r="B32" s="3" t="s">
        <v>22</v>
      </c>
      <c r="C32" s="9">
        <v>2.3544</v>
      </c>
      <c r="D32" s="9">
        <v>6.319</v>
      </c>
      <c r="E32" s="9">
        <v>6.3658999999999999</v>
      </c>
      <c r="F32" s="9">
        <v>4.4831000000000003</v>
      </c>
      <c r="G32" s="9">
        <v>19.522400000000001</v>
      </c>
      <c r="H32" s="9">
        <v>0.120599926238577</v>
      </c>
      <c r="I32" s="9">
        <v>0.44427939187804799</v>
      </c>
      <c r="J32" s="9">
        <v>0.32608183420071302</v>
      </c>
      <c r="K32" s="9">
        <v>0.22963877392123899</v>
      </c>
      <c r="L32" s="9">
        <v>0.34180213570331602</v>
      </c>
      <c r="M32" s="9">
        <v>2.18217439086461E-2</v>
      </c>
      <c r="N32" s="9">
        <v>0.13500000000000001</v>
      </c>
      <c r="O32" s="9">
        <v>54.192500000000003</v>
      </c>
      <c r="P32" s="9">
        <v>167.72048698569799</v>
      </c>
      <c r="Q32" s="9">
        <v>0.44427939187804799</v>
      </c>
      <c r="S32" s="3" t="s">
        <v>22</v>
      </c>
      <c r="T32" s="9">
        <v>5.6969489253984298</v>
      </c>
      <c r="U32">
        <v>0.34179999999999999</v>
      </c>
      <c r="V32" s="9">
        <v>-0.64953340822903305</v>
      </c>
      <c r="W32">
        <v>0.13500000000000001</v>
      </c>
      <c r="X32">
        <v>9.3775505710283191</v>
      </c>
      <c r="Y32">
        <v>3.6527923275345802</v>
      </c>
      <c r="Z32">
        <v>0.44428000000000001</v>
      </c>
      <c r="AD32" s="3" t="s">
        <v>22</v>
      </c>
      <c r="AE32" s="26">
        <v>8.0965900000000001E-4</v>
      </c>
      <c r="AF32">
        <v>1.8111299999999999</v>
      </c>
      <c r="AP32" t="s">
        <v>91</v>
      </c>
      <c r="AQ32">
        <v>1.4884999999999999</v>
      </c>
      <c r="AR32">
        <v>7.4999999999999997E-2</v>
      </c>
      <c r="AS32">
        <v>1706</v>
      </c>
    </row>
    <row r="33" spans="1:32" ht="12.95" customHeight="1" x14ac:dyDescent="0.15">
      <c r="A33" t="s">
        <v>25</v>
      </c>
      <c r="B33" s="3" t="s">
        <v>22</v>
      </c>
      <c r="C33" s="9">
        <v>1.0486</v>
      </c>
      <c r="D33" s="9">
        <v>3.4054000000000002</v>
      </c>
      <c r="E33" s="9">
        <v>3.6053000000000002</v>
      </c>
      <c r="F33" s="9">
        <v>3.9929000000000001</v>
      </c>
      <c r="G33" s="9">
        <v>12.052199999999999</v>
      </c>
      <c r="H33" s="9">
        <v>8.7004862182837997E-2</v>
      </c>
      <c r="I33" s="9">
        <v>0.369559084648446</v>
      </c>
      <c r="J33" s="9">
        <v>0.299140405900997</v>
      </c>
      <c r="K33" s="9">
        <v>0.331300509450557</v>
      </c>
      <c r="L33" s="9">
        <v>0.43931969718123198</v>
      </c>
      <c r="M33" s="9">
        <v>2.09179202090874E-2</v>
      </c>
      <c r="N33" s="9">
        <v>0.125</v>
      </c>
      <c r="O33" s="9">
        <v>38.055</v>
      </c>
      <c r="P33" s="9">
        <v>148.63917989593099</v>
      </c>
      <c r="Q33" s="9">
        <v>0.369559084648446</v>
      </c>
      <c r="S33" s="3" t="s">
        <v>22</v>
      </c>
      <c r="T33" s="9">
        <v>4.2607611786648603</v>
      </c>
      <c r="U33">
        <v>0.43931999999999999</v>
      </c>
      <c r="V33" s="9">
        <v>-0.64964830181883404</v>
      </c>
      <c r="W33">
        <v>0.125</v>
      </c>
      <c r="X33">
        <v>7.8666371441207099</v>
      </c>
      <c r="Y33">
        <v>3.59345124933711</v>
      </c>
      <c r="Z33">
        <v>0.36956</v>
      </c>
      <c r="AD33" s="3" t="s">
        <v>22</v>
      </c>
      <c r="AE33">
        <v>0.51773999999999998</v>
      </c>
      <c r="AF33">
        <v>1.22475</v>
      </c>
    </row>
    <row r="34" spans="1:32" ht="12.95" customHeight="1" x14ac:dyDescent="0.15">
      <c r="A34" t="s">
        <v>25</v>
      </c>
      <c r="B34" s="3" t="s">
        <v>22</v>
      </c>
      <c r="C34" s="9">
        <v>0.52749999999999997</v>
      </c>
      <c r="D34" s="9">
        <v>2.3035000000000001</v>
      </c>
      <c r="E34" s="9">
        <v>2.6442000000000001</v>
      </c>
      <c r="F34" s="9">
        <v>3.1959</v>
      </c>
      <c r="G34" s="9">
        <v>8.6710999999999991</v>
      </c>
      <c r="H34" s="9">
        <v>6.0834265548777001E-2</v>
      </c>
      <c r="I34" s="9">
        <v>0.32648683558026098</v>
      </c>
      <c r="J34" s="9">
        <v>0.30494400941057098</v>
      </c>
      <c r="K34" s="9">
        <v>0.36856915500916798</v>
      </c>
      <c r="L34" s="9">
        <v>0.39195079053217802</v>
      </c>
      <c r="M34" s="9">
        <v>1.90133920035058E-2</v>
      </c>
      <c r="N34" s="9">
        <v>0.155</v>
      </c>
      <c r="O34" s="9">
        <v>63.828000000000003</v>
      </c>
      <c r="P34" s="9">
        <v>127.682563119175</v>
      </c>
      <c r="Q34" s="9">
        <v>0.32648683558026098</v>
      </c>
      <c r="S34" s="3" t="s">
        <v>22</v>
      </c>
      <c r="T34" s="9">
        <v>3.4276108996115902</v>
      </c>
      <c r="U34">
        <v>0.39195000000000002</v>
      </c>
      <c r="V34" s="9">
        <v>-0.64988339784870397</v>
      </c>
      <c r="W34">
        <v>0.155</v>
      </c>
      <c r="X34">
        <v>10.148848606194401</v>
      </c>
      <c r="Y34">
        <v>3.5173380541669901</v>
      </c>
      <c r="Z34">
        <v>0.32649</v>
      </c>
      <c r="AD34" s="3" t="s">
        <v>22</v>
      </c>
      <c r="AE34">
        <v>0.75366999999999995</v>
      </c>
      <c r="AF34">
        <v>1.55078</v>
      </c>
    </row>
    <row r="35" spans="1:32" ht="12.95" customHeight="1" x14ac:dyDescent="0.15">
      <c r="A35" t="s">
        <v>25</v>
      </c>
      <c r="B35" s="3" t="s">
        <v>22</v>
      </c>
      <c r="C35" s="9">
        <v>0.1071</v>
      </c>
      <c r="D35" s="9">
        <v>0.39360000000000001</v>
      </c>
      <c r="E35" s="9">
        <v>0.41649999999999998</v>
      </c>
      <c r="F35" s="9">
        <v>0.53310000000000002</v>
      </c>
      <c r="G35" s="9">
        <v>1.4502999999999999</v>
      </c>
      <c r="H35" s="9">
        <v>7.3846790319244293E-2</v>
      </c>
      <c r="I35" s="9">
        <v>0.34523891608632701</v>
      </c>
      <c r="J35" s="9">
        <v>0.287181962352617</v>
      </c>
      <c r="K35" s="9">
        <v>0.36757912156105599</v>
      </c>
      <c r="L35" s="9">
        <v>0.37164672644191898</v>
      </c>
      <c r="M35" s="9">
        <v>1.6073176069127101E-2</v>
      </c>
      <c r="N35" s="9">
        <v>0.115</v>
      </c>
      <c r="O35" s="9">
        <v>12.5465</v>
      </c>
      <c r="P35" s="9">
        <v>214.47651981969099</v>
      </c>
      <c r="Q35" s="9">
        <v>0.34523891608632701</v>
      </c>
      <c r="S35" s="3" t="s">
        <v>22</v>
      </c>
      <c r="T35" s="9">
        <v>0.40076434589123999</v>
      </c>
      <c r="U35">
        <v>0.37164999999999998</v>
      </c>
      <c r="V35" s="9">
        <v>-0.65022097468461004</v>
      </c>
      <c r="W35">
        <v>0.115</v>
      </c>
      <c r="X35">
        <v>4.2524198547069902</v>
      </c>
      <c r="Y35">
        <v>3.7705447235379901</v>
      </c>
      <c r="Z35">
        <v>0.34523999999999999</v>
      </c>
      <c r="AD35" s="3" t="s">
        <v>22</v>
      </c>
      <c r="AE35">
        <v>-0.24814</v>
      </c>
      <c r="AF35">
        <v>-1.9921599999999999</v>
      </c>
    </row>
    <row r="36" spans="1:32" ht="12.95" customHeight="1" x14ac:dyDescent="0.15">
      <c r="A36" t="s">
        <v>25</v>
      </c>
      <c r="B36" s="3" t="s">
        <v>22</v>
      </c>
      <c r="C36" s="9">
        <v>0.30609999999999998</v>
      </c>
      <c r="D36" s="9">
        <v>1.2223999999999999</v>
      </c>
      <c r="E36" s="9">
        <v>1.1636</v>
      </c>
      <c r="F36" s="9">
        <v>1.3496999999999999</v>
      </c>
      <c r="G36" s="9">
        <v>4.0418000000000003</v>
      </c>
      <c r="H36" s="9">
        <v>7.5733584046711794E-2</v>
      </c>
      <c r="I36" s="9">
        <v>0.378173091196991</v>
      </c>
      <c r="J36" s="9">
        <v>0.28789153347518398</v>
      </c>
      <c r="K36" s="9">
        <v>0.33393537532782402</v>
      </c>
      <c r="L36" s="9">
        <v>0.405761859645485</v>
      </c>
      <c r="M36" s="9">
        <v>1.2264554912210001E-2</v>
      </c>
      <c r="N36" s="9">
        <v>0.125</v>
      </c>
      <c r="O36" s="9">
        <v>42.957000000000001</v>
      </c>
      <c r="P36" s="9">
        <v>154.65179124348899</v>
      </c>
      <c r="Q36" s="9">
        <v>0.378173091196991</v>
      </c>
      <c r="S36" s="3" t="s">
        <v>22</v>
      </c>
      <c r="T36" s="9">
        <v>1.8695550174725499</v>
      </c>
      <c r="U36">
        <v>0.40576000000000001</v>
      </c>
      <c r="V36" s="9">
        <v>-0.65061098291205699</v>
      </c>
      <c r="W36">
        <v>0.125</v>
      </c>
      <c r="X36">
        <v>8.3617884731826404</v>
      </c>
      <c r="Y36">
        <v>3.61304555169641</v>
      </c>
      <c r="Z36">
        <v>0.37817000000000001</v>
      </c>
      <c r="AD36" s="3" t="s">
        <v>22</v>
      </c>
      <c r="AE36">
        <v>0.65795999999999999</v>
      </c>
      <c r="AF36">
        <v>-0.58953</v>
      </c>
    </row>
    <row r="37" spans="1:32" ht="12.95" customHeight="1" x14ac:dyDescent="0.15">
      <c r="A37" t="s">
        <v>25</v>
      </c>
      <c r="B37" s="3" t="s">
        <v>23</v>
      </c>
      <c r="C37" s="9">
        <v>0.6371</v>
      </c>
      <c r="D37" s="9">
        <v>2.1214</v>
      </c>
      <c r="E37" s="9">
        <v>2.5364</v>
      </c>
      <c r="F37" s="9">
        <v>2.7488999999999999</v>
      </c>
      <c r="G37" s="9">
        <v>8.0437999999999992</v>
      </c>
      <c r="H37" s="9">
        <v>7.9203858872672103E-2</v>
      </c>
      <c r="I37" s="9">
        <v>0.34293493125139901</v>
      </c>
      <c r="J37" s="9">
        <v>0.31532360327208497</v>
      </c>
      <c r="K37" s="9">
        <v>0.34174146547651602</v>
      </c>
      <c r="L37" s="9">
        <v>0.56059648079148405</v>
      </c>
      <c r="M37" s="9">
        <v>1.6845099896654499E-2</v>
      </c>
      <c r="N37" s="9">
        <v>0.13</v>
      </c>
      <c r="O37" s="9">
        <v>51.159500000000001</v>
      </c>
      <c r="P37" s="9">
        <v>244.09904302709199</v>
      </c>
      <c r="Q37" s="9">
        <v>0.34293493125139901</v>
      </c>
      <c r="S37" s="3" t="s">
        <v>23</v>
      </c>
      <c r="T37" s="9">
        <v>3.25243833535488</v>
      </c>
      <c r="U37">
        <v>0.56059999999999999</v>
      </c>
      <c r="V37" s="9">
        <v>-0.65013438538405199</v>
      </c>
      <c r="W37">
        <v>0.13</v>
      </c>
      <c r="X37">
        <v>9.1173267702829808</v>
      </c>
      <c r="Y37">
        <v>3.8308838117577402</v>
      </c>
      <c r="Z37">
        <v>0.34293000000000001</v>
      </c>
      <c r="AD37" s="3" t="s">
        <v>23</v>
      </c>
      <c r="AE37">
        <v>0.60189999999999999</v>
      </c>
      <c r="AF37">
        <v>0.66951000000000005</v>
      </c>
    </row>
    <row r="38" spans="1:32" ht="12.95" customHeight="1" x14ac:dyDescent="0.15">
      <c r="A38" t="s">
        <v>25</v>
      </c>
      <c r="B38" s="3" t="s">
        <v>23</v>
      </c>
      <c r="C38" s="9">
        <v>5.3049999999999997</v>
      </c>
      <c r="D38" s="9">
        <v>3.0823999999999998</v>
      </c>
      <c r="E38" s="9">
        <v>4.3159999999999998</v>
      </c>
      <c r="F38" s="9">
        <v>4.2595999999999998</v>
      </c>
      <c r="G38" s="9">
        <v>16.963000000000001</v>
      </c>
      <c r="H38" s="9">
        <v>0.31273949183517102</v>
      </c>
      <c r="I38" s="9">
        <v>0.49445263219949298</v>
      </c>
      <c r="J38" s="9">
        <v>0.25443612568531498</v>
      </c>
      <c r="K38" s="9">
        <v>0.25111124211519198</v>
      </c>
      <c r="L38" s="9">
        <v>0.49244559896234202</v>
      </c>
      <c r="M38" s="9">
        <v>1.3381515192400901E-2</v>
      </c>
      <c r="N38" s="9">
        <v>0.15</v>
      </c>
      <c r="O38" s="9">
        <v>54.589500000000001</v>
      </c>
      <c r="P38" s="9">
        <v>145.701123191036</v>
      </c>
      <c r="Q38" s="9">
        <v>0.49445263219949298</v>
      </c>
      <c r="S38" s="3" t="s">
        <v>23</v>
      </c>
      <c r="T38" s="9">
        <v>5.24959872050841</v>
      </c>
      <c r="U38">
        <v>0.49245</v>
      </c>
      <c r="V38" s="9">
        <v>-0.65050222307194105</v>
      </c>
      <c r="W38">
        <v>0.15</v>
      </c>
      <c r="X38">
        <v>9.4109382025116695</v>
      </c>
      <c r="Y38">
        <v>3.58354494156232</v>
      </c>
      <c r="Z38">
        <v>0.49445</v>
      </c>
      <c r="AD38" s="3" t="s">
        <v>23</v>
      </c>
      <c r="AE38">
        <v>2.2181000000000002</v>
      </c>
      <c r="AF38">
        <v>1.5431699999999999</v>
      </c>
    </row>
    <row r="39" spans="1:32" ht="12.95" customHeight="1" x14ac:dyDescent="0.15">
      <c r="A39" t="s">
        <v>25</v>
      </c>
      <c r="B39" s="3" t="s">
        <v>23</v>
      </c>
      <c r="C39" s="9">
        <v>8.1999999999999795E-2</v>
      </c>
      <c r="D39" s="9">
        <v>5.8500000000000003E-2</v>
      </c>
      <c r="E39" s="9">
        <v>8.6199999999999805E-2</v>
      </c>
      <c r="F39" s="9">
        <v>0.14230000000000001</v>
      </c>
      <c r="G39" s="9">
        <v>0.36899999999999999</v>
      </c>
      <c r="H39" s="9">
        <v>0.22222222222222199</v>
      </c>
      <c r="I39" s="9">
        <v>0.38075880758807601</v>
      </c>
      <c r="J39" s="9">
        <v>0.23360433604336001</v>
      </c>
      <c r="K39" s="9">
        <v>0.38563685636856398</v>
      </c>
      <c r="L39" s="9">
        <v>0.50004529173050505</v>
      </c>
      <c r="M39" s="9">
        <v>6.9611879821405401E-4</v>
      </c>
      <c r="N39" s="9">
        <v>0.14000000000000001</v>
      </c>
      <c r="O39" s="9">
        <v>5.0640000000000001</v>
      </c>
      <c r="P39" s="9">
        <v>163.441088588355</v>
      </c>
      <c r="Q39" s="9">
        <v>0.38075880758807601</v>
      </c>
      <c r="S39" s="3" t="s">
        <v>23</v>
      </c>
      <c r="T39" s="9">
        <v>-0.82251823635432197</v>
      </c>
      <c r="U39">
        <v>0.50004999999999999</v>
      </c>
      <c r="V39" s="9">
        <v>-0.65135885934181204</v>
      </c>
      <c r="W39">
        <v>0.14000000000000001</v>
      </c>
      <c r="X39">
        <v>2.2438015106938298</v>
      </c>
      <c r="Y39">
        <v>3.6401778585489799</v>
      </c>
      <c r="Z39">
        <v>0.38075999999999999</v>
      </c>
      <c r="AD39" s="3" t="s">
        <v>23</v>
      </c>
      <c r="AE39">
        <v>2.4706600000000001</v>
      </c>
      <c r="AF39">
        <v>-2.8424700000000001</v>
      </c>
    </row>
    <row r="40" spans="1:32" ht="12.95" customHeight="1" x14ac:dyDescent="0.15">
      <c r="A40" t="s">
        <v>25</v>
      </c>
      <c r="B40" s="3" t="s">
        <v>23</v>
      </c>
      <c r="C40" s="9">
        <v>2.1911</v>
      </c>
      <c r="D40" s="9">
        <v>0.79179999999999995</v>
      </c>
      <c r="E40" s="9">
        <v>2.9205999999999999</v>
      </c>
      <c r="F40" s="9">
        <v>3.7374999999999998</v>
      </c>
      <c r="G40" s="9">
        <v>9.641</v>
      </c>
      <c r="H40" s="9">
        <v>0.227268955502541</v>
      </c>
      <c r="I40" s="9">
        <v>0.30939736541852503</v>
      </c>
      <c r="J40" s="9">
        <v>0.30293538014728799</v>
      </c>
      <c r="K40" s="9">
        <v>0.38766725443418698</v>
      </c>
      <c r="L40" s="9">
        <v>0.47112683555047702</v>
      </c>
      <c r="M40" s="9">
        <v>1.48756792466187E-2</v>
      </c>
      <c r="N40" s="9">
        <v>0.15</v>
      </c>
      <c r="O40" s="9">
        <v>30.53</v>
      </c>
      <c r="P40" s="9">
        <v>86.663459289581098</v>
      </c>
      <c r="Q40" s="9">
        <v>0.30939736541852503</v>
      </c>
      <c r="S40" s="3" t="s">
        <v>23</v>
      </c>
      <c r="T40" s="9">
        <v>3.6840578092611</v>
      </c>
      <c r="U40">
        <v>0.47112999999999999</v>
      </c>
      <c r="V40" s="9">
        <v>-0.65034878218814296</v>
      </c>
      <c r="W40">
        <v>0.15</v>
      </c>
      <c r="X40">
        <v>7.0227437815210401</v>
      </c>
      <c r="Y40">
        <v>3.3157478022998301</v>
      </c>
      <c r="Z40">
        <v>0.30940000000000001</v>
      </c>
      <c r="AD40" s="3" t="s">
        <v>23</v>
      </c>
      <c r="AE40">
        <v>2.4198</v>
      </c>
      <c r="AF40">
        <v>1.26875</v>
      </c>
    </row>
    <row r="41" spans="1:32" ht="12.95" customHeight="1" x14ac:dyDescent="0.15">
      <c r="A41" t="s">
        <v>25</v>
      </c>
      <c r="B41" s="3" t="s">
        <v>23</v>
      </c>
      <c r="C41" s="9">
        <v>1.6052</v>
      </c>
      <c r="D41" s="9">
        <v>1.4075</v>
      </c>
      <c r="E41" s="9">
        <v>1.5347</v>
      </c>
      <c r="F41" s="9">
        <v>1.7311000000000001</v>
      </c>
      <c r="G41" s="9">
        <v>6.2785000000000002</v>
      </c>
      <c r="H41" s="9">
        <v>0.25566616229991201</v>
      </c>
      <c r="I41" s="9">
        <v>0.47984391176236402</v>
      </c>
      <c r="J41" s="9">
        <v>0.24443736561280599</v>
      </c>
      <c r="K41" s="9">
        <v>0.27571872262483099</v>
      </c>
      <c r="L41" s="9">
        <v>0.36173935457636902</v>
      </c>
      <c r="M41" s="9">
        <v>1.9463489869733199E-2</v>
      </c>
      <c r="N41" s="9">
        <v>0.14000000000000001</v>
      </c>
      <c r="O41" s="9">
        <v>23.155000000000001</v>
      </c>
      <c r="P41" s="9">
        <v>187.32151567774301</v>
      </c>
      <c r="Q41" s="9">
        <v>0.47984391176236402</v>
      </c>
      <c r="S41" s="3" t="s">
        <v>23</v>
      </c>
      <c r="T41" s="9">
        <v>2.7103216275238702</v>
      </c>
      <c r="U41">
        <v>0.36174000000000001</v>
      </c>
      <c r="V41" s="9">
        <v>-0.649829097238103</v>
      </c>
      <c r="W41">
        <v>0.14000000000000001</v>
      </c>
      <c r="X41">
        <v>6.0590292752267896</v>
      </c>
      <c r="Y41">
        <v>3.7062228538741602</v>
      </c>
      <c r="Z41">
        <v>0.47983999999999999</v>
      </c>
      <c r="AD41" s="3" t="s">
        <v>23</v>
      </c>
      <c r="AE41">
        <v>0.55735000000000001</v>
      </c>
      <c r="AF41">
        <v>-0.15851000000000001</v>
      </c>
    </row>
    <row r="42" spans="1:32" ht="12.95" customHeight="1" x14ac:dyDescent="0.15">
      <c r="A42" t="s">
        <v>25</v>
      </c>
      <c r="B42" s="3" t="s">
        <v>23</v>
      </c>
      <c r="C42" s="9">
        <v>0.96870000000000001</v>
      </c>
      <c r="D42" s="9">
        <v>2.9420000000000002</v>
      </c>
      <c r="E42" s="9">
        <v>3.2269000000000001</v>
      </c>
      <c r="F42" s="9">
        <v>4.1654</v>
      </c>
      <c r="G42" s="9">
        <v>11.303000000000001</v>
      </c>
      <c r="H42" s="9">
        <v>8.5702910731664098E-2</v>
      </c>
      <c r="I42" s="9">
        <v>0.345987790851986</v>
      </c>
      <c r="J42" s="9">
        <v>0.28549057772272801</v>
      </c>
      <c r="K42" s="9">
        <v>0.36852163142528499</v>
      </c>
      <c r="L42" s="9">
        <v>0.44164647208383601</v>
      </c>
      <c r="M42" s="9">
        <v>1.6259571282846701E-2</v>
      </c>
      <c r="N42" s="9">
        <v>0.15</v>
      </c>
      <c r="O42" s="9">
        <v>59.8155</v>
      </c>
      <c r="P42" s="9">
        <v>131.55121938757699</v>
      </c>
      <c r="Q42" s="9">
        <v>0.345987790851986</v>
      </c>
      <c r="S42" s="3" t="s">
        <v>23</v>
      </c>
      <c r="T42" s="9">
        <v>4.0896579300773404</v>
      </c>
      <c r="U42" s="1">
        <v>0.44164999999999999</v>
      </c>
      <c r="V42" s="9">
        <v>-0.65020008514080496</v>
      </c>
      <c r="W42" s="1">
        <v>0.15</v>
      </c>
      <c r="X42" s="1">
        <v>9.8370808712045896</v>
      </c>
      <c r="Y42" s="1">
        <v>3.5324157652879302</v>
      </c>
      <c r="Z42" s="1">
        <v>0.34599000000000002</v>
      </c>
      <c r="AD42" s="3" t="s">
        <v>23</v>
      </c>
      <c r="AE42">
        <v>1.2553799999999999</v>
      </c>
      <c r="AF42">
        <v>1.5129699999999999</v>
      </c>
    </row>
    <row r="43" spans="1:32" ht="12.95" customHeight="1" x14ac:dyDescent="0.15">
      <c r="A43" t="s">
        <v>25</v>
      </c>
      <c r="B43" s="3" t="s">
        <v>23</v>
      </c>
      <c r="C43" s="9">
        <v>0.14149999999999999</v>
      </c>
      <c r="D43" s="9">
        <v>0.33729999999999999</v>
      </c>
      <c r="E43" s="9">
        <v>0.24030000000000001</v>
      </c>
      <c r="F43" s="9">
        <v>0.16639999999999999</v>
      </c>
      <c r="G43" s="9">
        <v>0.88549999999999995</v>
      </c>
      <c r="H43" s="9">
        <v>0.15979672501411599</v>
      </c>
      <c r="I43" s="9">
        <v>0.54071146245059298</v>
      </c>
      <c r="J43" s="9">
        <v>0.27137210615471502</v>
      </c>
      <c r="K43" s="9">
        <v>0.187916431394692</v>
      </c>
      <c r="L43" s="9">
        <v>0.43656787701037197</v>
      </c>
      <c r="M43" s="9">
        <v>3.6537520978524498E-3</v>
      </c>
      <c r="N43" s="9">
        <v>0.125</v>
      </c>
      <c r="O43" s="9">
        <v>10.4945</v>
      </c>
      <c r="P43" s="9">
        <v>170.66848042138699</v>
      </c>
      <c r="Q43" s="9">
        <v>0.54071146245059298</v>
      </c>
      <c r="S43" s="3" t="s">
        <v>23</v>
      </c>
      <c r="T43" s="9">
        <v>-0.118699446570481</v>
      </c>
      <c r="U43" s="1">
        <v>0.43657000000000001</v>
      </c>
      <c r="V43" s="9">
        <v>-0.65125033374835095</v>
      </c>
      <c r="W43" s="1">
        <v>0.125</v>
      </c>
      <c r="X43" s="1">
        <v>3.8004130056445899</v>
      </c>
      <c r="Y43" s="1">
        <v>3.6612705222883002</v>
      </c>
      <c r="Z43" s="1">
        <v>0.54071000000000002</v>
      </c>
      <c r="AD43" s="3" t="s">
        <v>23</v>
      </c>
      <c r="AE43">
        <v>2.0442</v>
      </c>
      <c r="AF43">
        <v>-2.8288600000000002</v>
      </c>
    </row>
    <row r="44" spans="1:32" s="1" customFormat="1" ht="12.95" customHeight="1" x14ac:dyDescent="0.15">
      <c r="A44" s="1" t="s">
        <v>25</v>
      </c>
      <c r="B44" s="3" t="s">
        <v>24</v>
      </c>
      <c r="C44" s="9">
        <v>8.9300000000000004E-2</v>
      </c>
      <c r="D44" s="9">
        <v>0.309</v>
      </c>
      <c r="E44" s="9">
        <v>0.30840000000000001</v>
      </c>
      <c r="F44" s="9">
        <v>0.32019999999999998</v>
      </c>
      <c r="G44" s="4">
        <v>1.0268999999999999</v>
      </c>
      <c r="H44" s="4">
        <v>8.6960755672412099E-2</v>
      </c>
      <c r="I44" s="4">
        <v>0.30090563832895101</v>
      </c>
      <c r="J44" s="4">
        <v>0.30032135553607903</v>
      </c>
      <c r="K44" s="4">
        <v>0.31181225046255701</v>
      </c>
      <c r="L44" s="9">
        <v>0.38763832241799401</v>
      </c>
      <c r="M44" s="9">
        <v>1.0644285169643899E-2</v>
      </c>
      <c r="N44" s="9">
        <v>0.12</v>
      </c>
      <c r="O44" s="9">
        <v>11.784000000000001</v>
      </c>
      <c r="P44" s="9">
        <v>155.10490588409701</v>
      </c>
      <c r="Q44" s="4">
        <v>0.38786639400136302</v>
      </c>
      <c r="S44" s="3" t="s">
        <v>24</v>
      </c>
      <c r="T44" s="9">
        <v>2.6685645895393701E-2</v>
      </c>
      <c r="U44" s="1">
        <v>0.38763999999999998</v>
      </c>
      <c r="V44" s="9">
        <v>-0.65075904343356195</v>
      </c>
      <c r="W44" s="1">
        <v>0.12</v>
      </c>
      <c r="X44" s="1">
        <v>4.09022038807481</v>
      </c>
      <c r="Y44" s="1">
        <v>3.61448688204201</v>
      </c>
      <c r="Z44" s="1">
        <v>0.38790000000000002</v>
      </c>
      <c r="AD44" s="3" t="s">
        <v>24</v>
      </c>
      <c r="AE44" s="1">
        <v>0.94069000000000003</v>
      </c>
      <c r="AF44" s="1">
        <v>-2.27854</v>
      </c>
    </row>
    <row r="45" spans="1:32" ht="12.95" customHeight="1" x14ac:dyDescent="0.15">
      <c r="A45" t="s">
        <v>25</v>
      </c>
      <c r="B45" s="3" t="s">
        <v>24</v>
      </c>
      <c r="C45" s="9">
        <v>3.0200000000000001E-2</v>
      </c>
      <c r="D45" s="9">
        <v>0.56799999999999995</v>
      </c>
      <c r="E45" s="9">
        <v>0.72919999999999996</v>
      </c>
      <c r="F45" s="9">
        <v>0.41099999999999998</v>
      </c>
      <c r="G45" s="4">
        <v>1.7383999999999999</v>
      </c>
      <c r="H45" s="4">
        <v>1.73722963644731E-2</v>
      </c>
      <c r="I45" s="4">
        <v>0.32673722963644702</v>
      </c>
      <c r="J45" s="4">
        <v>0.419466175793833</v>
      </c>
      <c r="K45" s="4">
        <v>0.23642429820524599</v>
      </c>
      <c r="L45" s="9">
        <v>0.41507095914783798</v>
      </c>
      <c r="M45" s="9">
        <v>5.5089281905905899E-3</v>
      </c>
      <c r="N45" s="9">
        <v>8.5000000000000006E-2</v>
      </c>
      <c r="O45" s="9">
        <v>11.794</v>
      </c>
      <c r="P45" s="9">
        <v>188.537522371758</v>
      </c>
      <c r="Q45" s="4">
        <v>0.34410952600091999</v>
      </c>
      <c r="S45" s="3" t="s">
        <v>24</v>
      </c>
      <c r="T45" s="9">
        <v>0.618722791775285</v>
      </c>
      <c r="U45">
        <v>0.41506999999999999</v>
      </c>
      <c r="V45" s="9">
        <v>-0.65114639217104398</v>
      </c>
      <c r="W45">
        <v>8.5000000000000006E-2</v>
      </c>
      <c r="X45">
        <v>4.0923890462398402</v>
      </c>
      <c r="Y45">
        <v>3.7093251799200901</v>
      </c>
      <c r="Z45">
        <v>0.34410000000000002</v>
      </c>
      <c r="AD45" s="3" t="s">
        <v>24</v>
      </c>
      <c r="AE45">
        <v>0.22223000000000001</v>
      </c>
      <c r="AF45">
        <v>-2.9228299999999998</v>
      </c>
    </row>
    <row r="46" spans="1:32" x14ac:dyDescent="0.15">
      <c r="A46" t="s">
        <v>25</v>
      </c>
      <c r="B46" s="3" t="s">
        <v>24</v>
      </c>
      <c r="C46" s="9">
        <v>0.10390000000000001</v>
      </c>
      <c r="D46" s="9">
        <v>0.50549999999999995</v>
      </c>
      <c r="E46" s="9">
        <v>0.56430000000000002</v>
      </c>
      <c r="F46" s="9">
        <v>0.38069999999999998</v>
      </c>
      <c r="G46" s="4">
        <v>1.5544</v>
      </c>
      <c r="H46" s="4">
        <v>6.6842511580030906E-2</v>
      </c>
      <c r="I46" s="4">
        <v>0.32520586721564598</v>
      </c>
      <c r="J46" s="4">
        <v>0.36303396809058203</v>
      </c>
      <c r="K46" s="4">
        <v>0.244917653113742</v>
      </c>
      <c r="L46" s="9">
        <v>0.23158524392146901</v>
      </c>
      <c r="M46" s="9">
        <v>1.2673133621609101E-2</v>
      </c>
      <c r="N46" s="9">
        <v>0.09</v>
      </c>
      <c r="O46" s="9">
        <v>16.460999999999999</v>
      </c>
      <c r="P46" s="9">
        <v>461.389516144597</v>
      </c>
      <c r="Q46" s="4">
        <v>0.392048378795677</v>
      </c>
      <c r="S46" s="3" t="s">
        <v>24</v>
      </c>
      <c r="T46" s="9">
        <v>0.48229223992266701</v>
      </c>
      <c r="U46">
        <v>0.23158999999999999</v>
      </c>
      <c r="V46" s="9">
        <v>-0.65057176031314101</v>
      </c>
      <c r="W46">
        <v>0.09</v>
      </c>
      <c r="X46">
        <v>5.0013476444202203</v>
      </c>
      <c r="Y46">
        <v>4.1123660368900703</v>
      </c>
      <c r="Z46">
        <v>0.39200000000000002</v>
      </c>
      <c r="AD46" s="3" t="s">
        <v>24</v>
      </c>
      <c r="AE46">
        <v>-2.47099</v>
      </c>
      <c r="AF46">
        <v>-3.5563199999999999</v>
      </c>
    </row>
    <row r="47" spans="1:32" x14ac:dyDescent="0.15">
      <c r="A47" t="s">
        <v>25</v>
      </c>
      <c r="B47" s="3" t="s">
        <v>24</v>
      </c>
      <c r="C47" s="9">
        <v>0.41370000000000001</v>
      </c>
      <c r="D47" s="9">
        <v>1.5083</v>
      </c>
      <c r="E47" s="9">
        <v>1.7361</v>
      </c>
      <c r="F47" s="9">
        <v>1.0946</v>
      </c>
      <c r="G47" s="4">
        <v>4.7526999999999999</v>
      </c>
      <c r="H47" s="4">
        <v>8.7045258484650806E-2</v>
      </c>
      <c r="I47" s="4">
        <v>0.31735645001788498</v>
      </c>
      <c r="J47" s="4">
        <v>0.36528709996423098</v>
      </c>
      <c r="K47" s="4">
        <v>0.23031119153323401</v>
      </c>
      <c r="L47" s="9">
        <v>0.48399956745221401</v>
      </c>
      <c r="M47" s="9">
        <v>1.55281170235791E-2</v>
      </c>
      <c r="N47" s="9">
        <v>0.09</v>
      </c>
      <c r="O47" s="9">
        <v>36.442500000000003</v>
      </c>
      <c r="P47" s="9">
        <v>186.67272284518401</v>
      </c>
      <c r="Q47" s="4">
        <v>0.40440170850253498</v>
      </c>
      <c r="S47" s="3" t="s">
        <v>24</v>
      </c>
      <c r="T47" s="9">
        <v>2.16180465409975</v>
      </c>
      <c r="U47">
        <v>0.48399999999999999</v>
      </c>
      <c r="V47" s="9">
        <v>-0.650279623025944</v>
      </c>
      <c r="W47">
        <v>0.09</v>
      </c>
      <c r="X47">
        <v>7.6951673468685398</v>
      </c>
      <c r="Y47">
        <v>3.7045581893075998</v>
      </c>
      <c r="Z47">
        <v>0.40439999999999998</v>
      </c>
      <c r="AD47" s="3" t="s">
        <v>24</v>
      </c>
      <c r="AE47">
        <v>0.13152</v>
      </c>
      <c r="AF47">
        <v>-0.76700999999999997</v>
      </c>
    </row>
    <row r="48" spans="1:32" x14ac:dyDescent="0.15">
      <c r="A48" t="s">
        <v>25</v>
      </c>
      <c r="B48" s="3" t="s">
        <v>24</v>
      </c>
      <c r="C48" s="9">
        <v>0.1108</v>
      </c>
      <c r="D48" s="9">
        <v>0.4607</v>
      </c>
      <c r="E48" s="9">
        <v>1.3261000000000001</v>
      </c>
      <c r="F48" s="9">
        <v>2.7881999999999998</v>
      </c>
      <c r="G48" s="4">
        <v>4.6858000000000004</v>
      </c>
      <c r="H48" s="4">
        <v>2.36459089163003E-2</v>
      </c>
      <c r="I48" s="4">
        <v>9.8318323445302794E-2</v>
      </c>
      <c r="J48" s="4">
        <v>0.283003969439583</v>
      </c>
      <c r="K48" s="4">
        <v>0.59503179819881302</v>
      </c>
      <c r="L48" s="9">
        <v>0.43791000943276998</v>
      </c>
      <c r="M48" s="9">
        <v>1.8322788033669001E-2</v>
      </c>
      <c r="N48" s="9">
        <v>0.125</v>
      </c>
      <c r="O48" s="9">
        <v>20.992000000000001</v>
      </c>
      <c r="P48" s="9">
        <v>148.21349737064199</v>
      </c>
      <c r="Q48" s="4">
        <v>0.121964232361603</v>
      </c>
      <c r="S48" s="3" t="s">
        <v>24</v>
      </c>
      <c r="T48" s="9">
        <v>2.1354731855853299</v>
      </c>
      <c r="U48">
        <v>0.43791000000000002</v>
      </c>
      <c r="V48" s="9">
        <v>-0.64996532828206299</v>
      </c>
      <c r="W48">
        <v>0.125</v>
      </c>
      <c r="X48">
        <v>5.7408539273275503</v>
      </c>
      <c r="Y48">
        <v>3.59202987755289</v>
      </c>
      <c r="Z48">
        <v>0.122</v>
      </c>
      <c r="AD48" s="3" t="s">
        <v>24</v>
      </c>
      <c r="AE48">
        <v>-2.4199999999999999E-2</v>
      </c>
      <c r="AF48">
        <v>3.3799999999999997E-2</v>
      </c>
    </row>
    <row r="49" spans="1:32" x14ac:dyDescent="0.15">
      <c r="A49" t="s">
        <v>25</v>
      </c>
      <c r="B49" s="3" t="s">
        <v>24</v>
      </c>
      <c r="C49" s="9">
        <v>0.60509999999999997</v>
      </c>
      <c r="D49" s="9">
        <v>3.3094000000000001</v>
      </c>
      <c r="E49" s="9">
        <v>2.4154</v>
      </c>
      <c r="F49" s="9">
        <v>2.9802</v>
      </c>
      <c r="G49" s="4">
        <v>9.3101000000000003</v>
      </c>
      <c r="H49" s="4">
        <v>6.4993931321897694E-2</v>
      </c>
      <c r="I49" s="4">
        <v>0.35546342144552701</v>
      </c>
      <c r="J49" s="4">
        <v>0.25943867412809701</v>
      </c>
      <c r="K49" s="4">
        <v>0.32010397310447802</v>
      </c>
      <c r="L49" s="9">
        <v>0.41983590937374599</v>
      </c>
      <c r="M49" s="9">
        <v>2.0075136076948399E-2</v>
      </c>
      <c r="N49" s="9">
        <v>0.125</v>
      </c>
      <c r="O49" s="9">
        <v>29.436499999999999</v>
      </c>
      <c r="P49" s="9">
        <v>128.11296583850901</v>
      </c>
      <c r="Q49" s="4">
        <v>0.42045735276742502</v>
      </c>
      <c r="S49" s="3" t="s">
        <v>24</v>
      </c>
      <c r="T49" s="9">
        <v>3.59838534838737</v>
      </c>
      <c r="U49">
        <v>0.41983999999999999</v>
      </c>
      <c r="V49" s="9">
        <v>-0.64975317676394895</v>
      </c>
      <c r="W49">
        <v>0.125</v>
      </c>
      <c r="X49">
        <v>6.8897361054078097</v>
      </c>
      <c r="Y49">
        <v>3.5190411186309198</v>
      </c>
      <c r="Z49">
        <v>0.42049999999999998</v>
      </c>
      <c r="AD49" s="3" t="s">
        <v>24</v>
      </c>
      <c r="AE49">
        <v>0.94782</v>
      </c>
      <c r="AF49">
        <v>0.73829</v>
      </c>
    </row>
    <row r="50" spans="1:32" x14ac:dyDescent="0.15">
      <c r="A50" t="s">
        <v>25</v>
      </c>
      <c r="B50" s="3" t="s">
        <v>24</v>
      </c>
      <c r="C50" s="9">
        <v>0.22009999999999999</v>
      </c>
      <c r="D50" s="9">
        <v>0.28539999999999999</v>
      </c>
      <c r="E50" s="9">
        <v>0.22309999999999999</v>
      </c>
      <c r="F50" s="9">
        <v>0.15029999999999999</v>
      </c>
      <c r="G50" s="4">
        <v>0.87890000000000001</v>
      </c>
      <c r="H50" s="4">
        <v>0.25042666970076199</v>
      </c>
      <c r="I50" s="4">
        <v>0.32472408692684002</v>
      </c>
      <c r="J50" s="4">
        <v>0.253840027306861</v>
      </c>
      <c r="K50" s="4">
        <v>0.17100921606553601</v>
      </c>
      <c r="L50" s="9">
        <v>0.40553796485999899</v>
      </c>
      <c r="M50" s="9">
        <v>5.0693745619070103E-3</v>
      </c>
      <c r="N50" s="9">
        <v>0.14499999999999999</v>
      </c>
      <c r="O50" s="9">
        <v>7.3734999999999999</v>
      </c>
      <c r="P50" s="9">
        <v>149.05217391304299</v>
      </c>
      <c r="Q50" s="4">
        <v>0.57515075662760295</v>
      </c>
      <c r="S50" s="3" t="s">
        <v>24</v>
      </c>
      <c r="T50">
        <v>-0.12581576916443099</v>
      </c>
      <c r="U50">
        <v>0.40554000000000001</v>
      </c>
      <c r="V50" s="3">
        <v>-0.65117299615657998</v>
      </c>
      <c r="W50">
        <v>0.14499999999999999</v>
      </c>
      <c r="X50">
        <v>2.99254999757285</v>
      </c>
      <c r="Y50">
        <v>3.5948258188267399</v>
      </c>
      <c r="Z50">
        <v>0.57520000000000004</v>
      </c>
      <c r="AD50" s="3" t="s">
        <v>24</v>
      </c>
      <c r="AE50">
        <v>2.6309399999999998</v>
      </c>
      <c r="AF50">
        <v>-2.6217100000000002</v>
      </c>
    </row>
  </sheetData>
  <conditionalFormatting sqref="AR12:AR32">
    <cfRule type="cellIs" dxfId="3" priority="2" operator="lessThan">
      <formula>0.05</formula>
    </cfRule>
  </conditionalFormatting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111"/>
  <sheetViews>
    <sheetView topLeftCell="AG22" zoomScaleNormal="100" workbookViewId="0">
      <selection activeCell="AW30" sqref="AW30"/>
    </sheetView>
  </sheetViews>
  <sheetFormatPr defaultColWidth="8.359375" defaultRowHeight="12.75" x14ac:dyDescent="0.15"/>
  <cols>
    <col min="1" max="2" width="6.3359375" customWidth="1"/>
    <col min="3" max="3" width="10.65234375" customWidth="1"/>
    <col min="4" max="4" width="12.13671875" customWidth="1"/>
    <col min="5" max="5" width="15.91015625" customWidth="1"/>
    <col min="6" max="6" width="9.03515625" customWidth="1"/>
    <col min="7" max="7" width="12" style="3" customWidth="1"/>
    <col min="8" max="8" width="6.3359375" style="3" customWidth="1"/>
    <col min="9" max="9" width="7.68359375" style="3" customWidth="1"/>
    <col min="10" max="10" width="6.3359375" style="3" customWidth="1"/>
    <col min="11" max="11" width="9.03515625" style="3" customWidth="1"/>
    <col min="12" max="12" width="11.32421875" style="3" customWidth="1"/>
    <col min="13" max="13" width="12.13671875" style="3" customWidth="1"/>
    <col min="14" max="14" width="10.78515625" style="3" customWidth="1"/>
    <col min="15" max="15" width="10.3828125" style="3" customWidth="1"/>
    <col min="16" max="16" width="10.515625" style="3" customWidth="1"/>
    <col min="17" max="18" width="9.84375" style="3" customWidth="1"/>
    <col min="19" max="19" width="6.3359375" customWidth="1"/>
    <col min="20" max="20" width="12.5390625" customWidth="1"/>
    <col min="21" max="21" width="11.32421875" customWidth="1"/>
    <col min="22" max="22" width="10.78515625" customWidth="1"/>
    <col min="23" max="23" width="10.3828125" customWidth="1"/>
    <col min="24" max="24" width="10.515625" customWidth="1"/>
    <col min="25" max="25" width="9.84375" customWidth="1"/>
    <col min="973" max="1024" width="11.59375" customWidth="1"/>
  </cols>
  <sheetData>
    <row r="1" spans="1:46" ht="12.95" customHeight="1" x14ac:dyDescent="0.15">
      <c r="A1" t="s">
        <v>0</v>
      </c>
      <c r="B1" t="s">
        <v>32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33</v>
      </c>
      <c r="N1" s="3" t="s">
        <v>13</v>
      </c>
      <c r="O1" s="3" t="s">
        <v>14</v>
      </c>
      <c r="P1" s="3" t="s">
        <v>15</v>
      </c>
      <c r="Q1" s="3" t="s">
        <v>16</v>
      </c>
      <c r="S1" s="3" t="s">
        <v>32</v>
      </c>
      <c r="T1" t="s">
        <v>6</v>
      </c>
      <c r="U1" t="s">
        <v>11</v>
      </c>
      <c r="V1" t="s">
        <v>33</v>
      </c>
      <c r="W1" t="s">
        <v>13</v>
      </c>
      <c r="X1" t="s">
        <v>14</v>
      </c>
      <c r="Y1" t="s">
        <v>15</v>
      </c>
      <c r="Z1" t="s">
        <v>16</v>
      </c>
      <c r="AB1" t="s">
        <v>41</v>
      </c>
      <c r="AK1" s="3" t="s">
        <v>32</v>
      </c>
      <c r="AL1" t="s">
        <v>38</v>
      </c>
      <c r="AM1" t="s">
        <v>39</v>
      </c>
      <c r="AO1" s="10"/>
      <c r="AP1" s="11" t="s">
        <v>40</v>
      </c>
      <c r="AQ1" s="12"/>
      <c r="AR1" s="12"/>
      <c r="AS1" s="12"/>
      <c r="AT1" s="13"/>
    </row>
    <row r="2" spans="1:46" ht="12.95" customHeight="1" x14ac:dyDescent="0.15">
      <c r="A2" t="s">
        <v>26</v>
      </c>
      <c r="B2" s="3" t="s">
        <v>18</v>
      </c>
      <c r="C2" s="44">
        <v>5.3982999999999999</v>
      </c>
      <c r="D2" s="44">
        <v>3.8336999999999999</v>
      </c>
      <c r="E2" s="44">
        <v>9.0094999999999992</v>
      </c>
      <c r="F2" s="44">
        <v>10.9832</v>
      </c>
      <c r="G2" s="45">
        <v>29.224699999999999</v>
      </c>
      <c r="H2" s="45">
        <v>0.18471703730064001</v>
      </c>
      <c r="I2" s="45">
        <v>0.13118013187475</v>
      </c>
      <c r="J2" s="45">
        <v>0.30828374628311001</v>
      </c>
      <c r="K2" s="45">
        <v>0.37581908454150098</v>
      </c>
      <c r="L2" s="4">
        <v>0.44369753668264</v>
      </c>
      <c r="M2" s="4">
        <v>1.1875342934403999E-2</v>
      </c>
      <c r="N2" s="4">
        <v>0.13</v>
      </c>
      <c r="O2" s="4">
        <v>79.028000000000006</v>
      </c>
      <c r="P2" s="4">
        <v>161.49013228354599</v>
      </c>
      <c r="Q2" s="4">
        <v>0.31589716917538901</v>
      </c>
      <c r="R2" s="44"/>
      <c r="S2" s="3" t="s">
        <v>18</v>
      </c>
      <c r="T2">
        <v>4.1931262817806401</v>
      </c>
      <c r="U2">
        <v>0.44369999999999998</v>
      </c>
      <c r="V2">
        <v>1.1900000000000001E-2</v>
      </c>
      <c r="W2">
        <v>-1.4008617228171001</v>
      </c>
      <c r="X2">
        <v>79.028000000000006</v>
      </c>
      <c r="Y2">
        <v>1.0404373665229101</v>
      </c>
      <c r="Z2">
        <v>0.31590000000000001</v>
      </c>
      <c r="AC2" t="s">
        <v>45</v>
      </c>
      <c r="AD2" t="s">
        <v>46</v>
      </c>
      <c r="AE2" t="s">
        <v>46</v>
      </c>
      <c r="AF2" t="s">
        <v>47</v>
      </c>
      <c r="AG2" t="s">
        <v>48</v>
      </c>
      <c r="AH2" t="s">
        <v>49</v>
      </c>
      <c r="AK2" s="3" t="s">
        <v>18</v>
      </c>
      <c r="AL2">
        <v>-1.6562300000000001</v>
      </c>
      <c r="AM2">
        <v>0.31759999999999999</v>
      </c>
      <c r="AO2" s="14" t="s">
        <v>32</v>
      </c>
      <c r="AP2" s="15" t="s">
        <v>42</v>
      </c>
      <c r="AQ2" s="16" t="s">
        <v>42</v>
      </c>
      <c r="AR2" s="16" t="s">
        <v>43</v>
      </c>
      <c r="AS2" s="16" t="s">
        <v>44</v>
      </c>
      <c r="AT2" s="17" t="s">
        <v>42</v>
      </c>
    </row>
    <row r="3" spans="1:46" ht="12.95" customHeight="1" x14ac:dyDescent="0.15">
      <c r="A3" t="s">
        <v>26</v>
      </c>
      <c r="B3" s="3" t="s">
        <v>18</v>
      </c>
      <c r="C3" s="44">
        <v>3.3879999999999999</v>
      </c>
      <c r="D3" s="44">
        <v>5.8254999999999999</v>
      </c>
      <c r="E3" s="44">
        <v>8.1411999999999995</v>
      </c>
      <c r="F3" s="44">
        <v>8.9046000000000003</v>
      </c>
      <c r="G3" s="45">
        <v>26.2593</v>
      </c>
      <c r="H3" s="45">
        <v>0.12902095638497599</v>
      </c>
      <c r="I3" s="45">
        <v>0.35086616931906001</v>
      </c>
      <c r="J3" s="45">
        <v>0.31003111278670797</v>
      </c>
      <c r="K3" s="45">
        <v>0.33910271789423202</v>
      </c>
      <c r="L3" s="4">
        <v>0.48046375291537302</v>
      </c>
      <c r="M3" s="4">
        <v>1.05073579053512E-2</v>
      </c>
      <c r="N3" s="4">
        <v>0.155</v>
      </c>
      <c r="O3" s="4">
        <v>98.787000000000006</v>
      </c>
      <c r="P3" s="4">
        <v>127.92293506112</v>
      </c>
      <c r="Q3" s="4">
        <v>0.35086616931906001</v>
      </c>
      <c r="R3" s="44"/>
      <c r="S3" s="3" t="s">
        <v>18</v>
      </c>
      <c r="T3">
        <v>4.0314200672618199</v>
      </c>
      <c r="U3">
        <v>0.48049999999999998</v>
      </c>
      <c r="V3">
        <v>1.0500000000000001E-2</v>
      </c>
      <c r="W3">
        <v>-1.3194888696773801</v>
      </c>
      <c r="X3">
        <v>98.787000000000006</v>
      </c>
      <c r="Y3">
        <v>1.03839165556651</v>
      </c>
      <c r="Z3">
        <v>0.35089999999999999</v>
      </c>
      <c r="AB3" t="s">
        <v>50</v>
      </c>
      <c r="AC3" t="s">
        <v>51</v>
      </c>
      <c r="AD3" t="s">
        <v>52</v>
      </c>
      <c r="AE3" t="s">
        <v>53</v>
      </c>
      <c r="AF3" t="s">
        <v>54</v>
      </c>
      <c r="AG3" t="s">
        <v>55</v>
      </c>
      <c r="AH3" t="s">
        <v>56</v>
      </c>
      <c r="AK3" s="3" t="s">
        <v>18</v>
      </c>
      <c r="AL3">
        <v>-0.86397000000000002</v>
      </c>
      <c r="AM3">
        <v>-0.35453000000000001</v>
      </c>
      <c r="AO3" s="18" t="s">
        <v>24</v>
      </c>
      <c r="AP3" s="46">
        <v>-1.68339142857143</v>
      </c>
      <c r="AQ3" s="47">
        <v>-1.68339142857143</v>
      </c>
      <c r="AR3" s="47">
        <v>-1.0752542857142899</v>
      </c>
      <c r="AS3" s="47">
        <v>1.03123865519185</v>
      </c>
      <c r="AT3" s="48">
        <v>-1.68339142857143</v>
      </c>
    </row>
    <row r="4" spans="1:46" ht="12.95" customHeight="1" x14ac:dyDescent="0.15">
      <c r="A4" t="s">
        <v>26</v>
      </c>
      <c r="B4" s="3" t="s">
        <v>18</v>
      </c>
      <c r="C4" s="44">
        <v>4.2211999999999996</v>
      </c>
      <c r="D4" s="44">
        <v>4.8422999999999998</v>
      </c>
      <c r="E4" s="44">
        <v>10.650700000000001</v>
      </c>
      <c r="F4" s="44">
        <v>11.873200000000001</v>
      </c>
      <c r="G4" s="45">
        <v>31.587399999999999</v>
      </c>
      <c r="H4" s="45">
        <v>0.13363556354749001</v>
      </c>
      <c r="I4" s="45">
        <v>0.28693403065779399</v>
      </c>
      <c r="J4" s="45">
        <v>0.33718191430760402</v>
      </c>
      <c r="K4" s="45">
        <v>0.37588405503460198</v>
      </c>
      <c r="L4" s="4">
        <v>0.42920658338240403</v>
      </c>
      <c r="M4" s="4">
        <v>1.1561516828181E-2</v>
      </c>
      <c r="N4" s="4">
        <v>0.18</v>
      </c>
      <c r="O4" s="4">
        <v>110.90049999999999</v>
      </c>
      <c r="P4" s="4">
        <v>136.18560202321899</v>
      </c>
      <c r="Q4" s="4">
        <v>0.28693403065779399</v>
      </c>
      <c r="R4" s="44"/>
      <c r="S4" s="3" t="s">
        <v>18</v>
      </c>
      <c r="T4">
        <v>4.31192240434111</v>
      </c>
      <c r="U4">
        <v>0.42920000000000003</v>
      </c>
      <c r="V4">
        <v>1.1599999999999999E-2</v>
      </c>
      <c r="W4">
        <v>-1.2457232789677</v>
      </c>
      <c r="X4">
        <v>110.90049999999999</v>
      </c>
      <c r="Y4">
        <v>1.0389865381287999</v>
      </c>
      <c r="Z4">
        <v>0.28689999999999999</v>
      </c>
      <c r="AB4" t="s">
        <v>57</v>
      </c>
      <c r="AC4">
        <v>6</v>
      </c>
      <c r="AD4">
        <v>207.76</v>
      </c>
      <c r="AE4">
        <v>34.627000000000002</v>
      </c>
      <c r="AF4">
        <v>11.340999999999999</v>
      </c>
      <c r="AG4">
        <v>1E-4</v>
      </c>
      <c r="AH4">
        <v>9905</v>
      </c>
      <c r="AK4" s="3" t="s">
        <v>18</v>
      </c>
      <c r="AL4">
        <v>-0.77902000000000005</v>
      </c>
      <c r="AM4">
        <v>1.2612300000000001</v>
      </c>
      <c r="AO4" s="22" t="s">
        <v>22</v>
      </c>
      <c r="AP4" s="49">
        <v>2.4410871428571399</v>
      </c>
      <c r="AQ4" s="50">
        <v>2.4410871428571399</v>
      </c>
      <c r="AR4" s="50">
        <v>0.53197714285714304</v>
      </c>
      <c r="AS4" s="50">
        <v>0.839551181360499</v>
      </c>
      <c r="AT4" s="51">
        <v>2.4410871428571399</v>
      </c>
    </row>
    <row r="5" spans="1:46" ht="12.95" customHeight="1" x14ac:dyDescent="0.15">
      <c r="A5" t="s">
        <v>26</v>
      </c>
      <c r="B5" s="3" t="s">
        <v>18</v>
      </c>
      <c r="C5" s="44">
        <v>4.3220000000000001</v>
      </c>
      <c r="D5" s="44">
        <v>8.0538000000000007</v>
      </c>
      <c r="E5" s="44">
        <v>23.461099999999998</v>
      </c>
      <c r="F5" s="44">
        <v>16.568529999999999</v>
      </c>
      <c r="G5" s="45">
        <v>52.405430000000003</v>
      </c>
      <c r="H5" s="45">
        <v>8.24723697525237E-2</v>
      </c>
      <c r="I5" s="45">
        <v>0.23615491753430901</v>
      </c>
      <c r="J5" s="45">
        <v>0.44768452429452399</v>
      </c>
      <c r="K5" s="45">
        <v>0.31616055817116701</v>
      </c>
      <c r="L5" s="4">
        <v>0.41382817266857302</v>
      </c>
      <c r="M5" s="4">
        <v>1.64160571209718E-2</v>
      </c>
      <c r="N5" s="4">
        <v>0.2</v>
      </c>
      <c r="O5" s="4">
        <v>141.3725</v>
      </c>
      <c r="P5" s="4">
        <v>118.835414301814</v>
      </c>
      <c r="Q5" s="4">
        <v>0.23615491753430901</v>
      </c>
      <c r="R5" s="44"/>
      <c r="S5" s="3" t="s">
        <v>18</v>
      </c>
      <c r="T5">
        <v>5.1144563253657402</v>
      </c>
      <c r="U5">
        <v>0.4138</v>
      </c>
      <c r="V5">
        <v>1.6400000000000001E-2</v>
      </c>
      <c r="W5">
        <v>-1.19106878438349</v>
      </c>
      <c r="X5">
        <v>141.3725</v>
      </c>
      <c r="Y5">
        <v>1.03764423778854</v>
      </c>
      <c r="Z5">
        <v>0.23619999999999999</v>
      </c>
      <c r="AB5" t="s">
        <v>58</v>
      </c>
      <c r="AC5">
        <v>42</v>
      </c>
      <c r="AD5">
        <v>128.24</v>
      </c>
      <c r="AE5">
        <v>3.0531999999999999</v>
      </c>
      <c r="AF5" t="s">
        <v>47</v>
      </c>
      <c r="AG5" t="s">
        <v>48</v>
      </c>
      <c r="AH5" t="s">
        <v>46</v>
      </c>
      <c r="AK5" s="3" t="s">
        <v>18</v>
      </c>
      <c r="AL5">
        <v>0.71784000000000003</v>
      </c>
      <c r="AM5">
        <v>3.0535600000000001</v>
      </c>
      <c r="AO5" s="22" t="s">
        <v>21</v>
      </c>
      <c r="AP5" s="49">
        <v>2.16812</v>
      </c>
      <c r="AQ5" s="50">
        <v>2.16812</v>
      </c>
      <c r="AR5" s="50">
        <v>-0.113687142857143</v>
      </c>
      <c r="AS5" s="50">
        <v>1.2687067767838001</v>
      </c>
      <c r="AT5" s="51">
        <v>2.16812</v>
      </c>
    </row>
    <row r="6" spans="1:46" ht="12.95" customHeight="1" x14ac:dyDescent="0.15">
      <c r="A6" t="s">
        <v>26</v>
      </c>
      <c r="B6" s="3" t="s">
        <v>18</v>
      </c>
      <c r="C6" s="44">
        <v>5.0861000000000001</v>
      </c>
      <c r="D6" s="44">
        <v>6.0730000000000004</v>
      </c>
      <c r="E6" s="44">
        <v>14.179399999999999</v>
      </c>
      <c r="F6" s="44">
        <v>14.2211</v>
      </c>
      <c r="G6" s="45">
        <v>39.559600000000003</v>
      </c>
      <c r="H6" s="45">
        <v>0.12856803405494499</v>
      </c>
      <c r="I6" s="45">
        <v>0.28208323643312899</v>
      </c>
      <c r="J6" s="45">
        <v>0.35843132893153601</v>
      </c>
      <c r="K6" s="45">
        <v>0.359485434635335</v>
      </c>
      <c r="L6" s="4">
        <v>0.51862757162724804</v>
      </c>
      <c r="M6" s="4">
        <v>1.3547695356599099E-2</v>
      </c>
      <c r="N6" s="4">
        <v>0.17</v>
      </c>
      <c r="O6" s="4">
        <v>74.316500000000005</v>
      </c>
      <c r="P6" s="4">
        <v>106.84545706661901</v>
      </c>
      <c r="Q6" s="4">
        <v>0.28208323643312899</v>
      </c>
      <c r="R6" s="44"/>
      <c r="S6" s="3" t="s">
        <v>18</v>
      </c>
      <c r="T6">
        <v>4.6624887733774196</v>
      </c>
      <c r="U6">
        <v>0.51859999999999995</v>
      </c>
      <c r="V6">
        <v>1.35E-2</v>
      </c>
      <c r="W6">
        <v>-1.2744356187889501</v>
      </c>
      <c r="X6">
        <v>74.316500000000005</v>
      </c>
      <c r="Y6">
        <v>1.0364685205627</v>
      </c>
      <c r="Z6">
        <v>0.28210000000000002</v>
      </c>
      <c r="AB6" t="s">
        <v>59</v>
      </c>
      <c r="AC6">
        <v>48</v>
      </c>
      <c r="AD6">
        <v>336</v>
      </c>
      <c r="AE6" t="s">
        <v>46</v>
      </c>
      <c r="AF6" t="s">
        <v>47</v>
      </c>
      <c r="AG6" t="s">
        <v>48</v>
      </c>
      <c r="AH6" t="s">
        <v>46</v>
      </c>
      <c r="AK6" s="3" t="s">
        <v>18</v>
      </c>
      <c r="AL6">
        <v>0.53598999999999997</v>
      </c>
      <c r="AM6">
        <v>-0.12019000000000001</v>
      </c>
      <c r="AO6" s="22" t="s">
        <v>23</v>
      </c>
      <c r="AP6" s="49">
        <v>0.48972714285714303</v>
      </c>
      <c r="AQ6" s="50">
        <v>0.48972714285714303</v>
      </c>
      <c r="AR6" s="50">
        <v>-1.7318442857142899</v>
      </c>
      <c r="AS6" s="50">
        <v>0.74192027668874605</v>
      </c>
      <c r="AT6" s="51">
        <v>0.48972714285714303</v>
      </c>
    </row>
    <row r="7" spans="1:46" ht="12.95" customHeight="1" x14ac:dyDescent="0.15">
      <c r="A7" t="s">
        <v>26</v>
      </c>
      <c r="B7" s="3" t="s">
        <v>18</v>
      </c>
      <c r="C7" s="44">
        <v>2.4741</v>
      </c>
      <c r="D7" s="44">
        <v>5.0368000000000004</v>
      </c>
      <c r="E7" s="44">
        <v>13.9785</v>
      </c>
      <c r="F7" s="44">
        <v>12.25741</v>
      </c>
      <c r="G7" s="45">
        <v>33.746810000000004</v>
      </c>
      <c r="H7" s="45">
        <v>7.33135961591629E-2</v>
      </c>
      <c r="I7" s="45">
        <v>0.222566221814743</v>
      </c>
      <c r="J7" s="45">
        <v>0.41421692894824702</v>
      </c>
      <c r="K7" s="45">
        <v>0.36321684923700898</v>
      </c>
      <c r="L7" s="4">
        <v>0.43812951688221702</v>
      </c>
      <c r="M7" s="4">
        <v>1.5673665133941798E-2</v>
      </c>
      <c r="N7" s="4">
        <v>0.16</v>
      </c>
      <c r="O7" s="4">
        <v>84.052000000000007</v>
      </c>
      <c r="P7" s="4">
        <v>136.584470664984</v>
      </c>
      <c r="Q7" s="4">
        <v>0.222566221814743</v>
      </c>
      <c r="R7" s="44"/>
      <c r="S7" s="3" t="s">
        <v>18</v>
      </c>
      <c r="T7">
        <v>4.4139336408908498</v>
      </c>
      <c r="U7">
        <v>0.43809999999999999</v>
      </c>
      <c r="V7">
        <v>1.5699999999999999E-2</v>
      </c>
      <c r="W7">
        <v>-1.3041890907237901</v>
      </c>
      <c r="X7">
        <v>84.052000000000007</v>
      </c>
      <c r="Y7">
        <v>1.0390134774536799</v>
      </c>
      <c r="Z7">
        <v>0.22259999999999999</v>
      </c>
      <c r="AK7" s="3" t="s">
        <v>18</v>
      </c>
      <c r="AL7">
        <v>-0.52044000000000001</v>
      </c>
      <c r="AM7">
        <v>1.82931</v>
      </c>
      <c r="AO7" s="22" t="s">
        <v>19</v>
      </c>
      <c r="AP7" s="49">
        <v>-2.2983285714285699</v>
      </c>
      <c r="AQ7" s="50">
        <v>-2.2983285714285699</v>
      </c>
      <c r="AR7" s="50">
        <v>1.52763714285714</v>
      </c>
      <c r="AS7" s="50">
        <v>0.96154518943407397</v>
      </c>
      <c r="AT7" s="51">
        <v>-2.2983285714285699</v>
      </c>
    </row>
    <row r="8" spans="1:46" ht="12.95" customHeight="1" x14ac:dyDescent="0.15">
      <c r="A8" t="s">
        <v>26</v>
      </c>
      <c r="B8" s="3" t="s">
        <v>18</v>
      </c>
      <c r="C8" s="44">
        <v>3.2595999999999998</v>
      </c>
      <c r="D8" s="44">
        <v>4.5728999999999997</v>
      </c>
      <c r="E8" s="44">
        <v>11.1762</v>
      </c>
      <c r="F8" s="44">
        <v>10.081099999999999</v>
      </c>
      <c r="G8" s="45">
        <v>29.0898</v>
      </c>
      <c r="H8" s="45">
        <v>0.112053022021465</v>
      </c>
      <c r="I8" s="45">
        <v>0.26925245274976101</v>
      </c>
      <c r="J8" s="45">
        <v>0.38419652249241998</v>
      </c>
      <c r="K8" s="45">
        <v>0.34655102475781902</v>
      </c>
      <c r="L8" s="4">
        <v>0.44335049853160502</v>
      </c>
      <c r="M8" s="4">
        <v>9.6380549405624006E-3</v>
      </c>
      <c r="N8" s="4">
        <v>0.15</v>
      </c>
      <c r="O8" s="4">
        <v>105.212</v>
      </c>
      <c r="P8" s="4">
        <v>121.482803571663</v>
      </c>
      <c r="Q8" s="4">
        <v>0.26925245274976101</v>
      </c>
      <c r="R8" s="44"/>
      <c r="S8" s="3" t="s">
        <v>18</v>
      </c>
      <c r="T8">
        <v>4.1860854610495597</v>
      </c>
      <c r="U8">
        <v>0.44340000000000002</v>
      </c>
      <c r="V8">
        <v>9.5999999999999992E-3</v>
      </c>
      <c r="W8">
        <v>-1.3350902753590399</v>
      </c>
      <c r="X8">
        <v>105.212</v>
      </c>
      <c r="Y8">
        <v>1.0378732505633499</v>
      </c>
      <c r="Z8">
        <v>0.26929999999999998</v>
      </c>
      <c r="AK8" s="3" t="s">
        <v>18</v>
      </c>
      <c r="AL8">
        <v>-1.1773400000000001</v>
      </c>
      <c r="AM8">
        <v>0.89502999999999999</v>
      </c>
      <c r="AO8" s="22" t="s">
        <v>18</v>
      </c>
      <c r="AP8" s="49">
        <v>-0.53473857142857095</v>
      </c>
      <c r="AQ8" s="50">
        <v>-0.53473857142857095</v>
      </c>
      <c r="AR8" s="50">
        <v>0.98314428571428603</v>
      </c>
      <c r="AS8" s="50">
        <v>1.19285244091431</v>
      </c>
      <c r="AT8" s="51">
        <v>-0.53473857142857095</v>
      </c>
    </row>
    <row r="9" spans="1:46" ht="12.95" customHeight="1" x14ac:dyDescent="0.15">
      <c r="A9" t="s">
        <v>26</v>
      </c>
      <c r="B9" s="3" t="s">
        <v>19</v>
      </c>
      <c r="C9" s="44">
        <v>2.1928000000000001</v>
      </c>
      <c r="D9" s="44">
        <v>2.6486000000000001</v>
      </c>
      <c r="E9" s="44">
        <v>6.8090999999999999</v>
      </c>
      <c r="F9" s="44">
        <v>7.1131000000000002</v>
      </c>
      <c r="G9" s="45">
        <v>18.7636</v>
      </c>
      <c r="H9" s="45">
        <v>0.116864567566991</v>
      </c>
      <c r="I9" s="45">
        <v>0.25802084887761401</v>
      </c>
      <c r="J9" s="45">
        <v>0.36288878466818703</v>
      </c>
      <c r="K9" s="45">
        <v>0.37909036645419902</v>
      </c>
      <c r="L9" s="4">
        <v>0.43386796118909299</v>
      </c>
      <c r="M9" s="4">
        <v>8.2780106901008503E-3</v>
      </c>
      <c r="N9" s="4">
        <v>0.155</v>
      </c>
      <c r="O9" s="4">
        <v>82.266999999999996</v>
      </c>
      <c r="P9" s="4">
        <v>160.27059384752599</v>
      </c>
      <c r="Q9" s="4">
        <v>0.25802084887761401</v>
      </c>
      <c r="R9" s="44"/>
      <c r="S9" s="3" t="s">
        <v>19</v>
      </c>
      <c r="T9">
        <v>3.5373620489669899</v>
      </c>
      <c r="U9">
        <v>0.43390000000000001</v>
      </c>
      <c r="V9">
        <v>8.3000000000000001E-3</v>
      </c>
      <c r="W9">
        <v>-1.3194888696773801</v>
      </c>
      <c r="X9">
        <v>82.266999999999996</v>
      </c>
      <c r="Y9">
        <v>1.04037772266248</v>
      </c>
      <c r="Z9">
        <v>0.25800000000000001</v>
      </c>
      <c r="AB9" t="s">
        <v>92</v>
      </c>
      <c r="AK9" s="3" t="s">
        <v>19</v>
      </c>
      <c r="AL9">
        <v>-2.2850199999999998</v>
      </c>
      <c r="AM9">
        <v>0.67691999999999997</v>
      </c>
      <c r="AO9" s="22" t="s">
        <v>20</v>
      </c>
      <c r="AP9" s="52">
        <v>-0.58247428571428606</v>
      </c>
      <c r="AQ9" s="53">
        <v>-0.58247428571428606</v>
      </c>
      <c r="AR9" s="53">
        <v>-0.12197142857142899</v>
      </c>
      <c r="AS9" s="53">
        <v>0.72514688738279198</v>
      </c>
      <c r="AT9" s="54">
        <v>-0.58247428571428606</v>
      </c>
    </row>
    <row r="10" spans="1:46" ht="12.95" customHeight="1" x14ac:dyDescent="0.15">
      <c r="A10" t="s">
        <v>26</v>
      </c>
      <c r="B10" s="3" t="s">
        <v>19</v>
      </c>
      <c r="C10" s="44">
        <v>2.5049999999999999</v>
      </c>
      <c r="D10" s="44">
        <v>3.3176999999999999</v>
      </c>
      <c r="E10" s="44">
        <v>7.5667999999999997</v>
      </c>
      <c r="F10" s="44">
        <v>8.8424999999999994</v>
      </c>
      <c r="G10" s="45">
        <v>22.231999999999999</v>
      </c>
      <c r="H10" s="45">
        <v>0.11267542281396201</v>
      </c>
      <c r="I10" s="45">
        <v>0.26190626124505201</v>
      </c>
      <c r="J10" s="45">
        <v>0.34035624325296898</v>
      </c>
      <c r="K10" s="45">
        <v>0.39773749550197901</v>
      </c>
      <c r="L10" s="4">
        <v>0.39612803819519898</v>
      </c>
      <c r="M10" s="4">
        <v>9.8478870111876008E-3</v>
      </c>
      <c r="N10" s="4">
        <v>0.15</v>
      </c>
      <c r="O10" s="4">
        <v>74.855500000000006</v>
      </c>
      <c r="P10" s="4">
        <v>168.77593907272899</v>
      </c>
      <c r="Q10" s="4">
        <v>0.26190626124505201</v>
      </c>
      <c r="R10" s="44"/>
      <c r="S10" s="3" t="s">
        <v>19</v>
      </c>
      <c r="T10">
        <v>3.78410258394966</v>
      </c>
      <c r="U10">
        <v>0.39610000000000001</v>
      </c>
      <c r="V10">
        <v>9.7999999999999997E-3</v>
      </c>
      <c r="W10">
        <v>-1.3350902753590399</v>
      </c>
      <c r="X10">
        <v>74.855500000000006</v>
      </c>
      <c r="Y10">
        <v>1.04077615023319</v>
      </c>
      <c r="Z10">
        <v>0.26190000000000002</v>
      </c>
      <c r="AK10" s="3" t="s">
        <v>19</v>
      </c>
      <c r="AL10">
        <v>-2.4026399999999999</v>
      </c>
      <c r="AM10">
        <v>1.0022500000000001</v>
      </c>
      <c r="AO10" s="30" t="s">
        <v>60</v>
      </c>
      <c r="AP10" s="55">
        <v>2.0408163258586E-7</v>
      </c>
      <c r="AQ10" s="56">
        <v>2.0408163258586E-7</v>
      </c>
      <c r="AR10" s="56">
        <v>2.0408163243915E-7</v>
      </c>
      <c r="AS10" s="56">
        <v>1.40812772348973</v>
      </c>
      <c r="AT10" s="57">
        <v>2.0408163258586E-7</v>
      </c>
    </row>
    <row r="11" spans="1:46" ht="12.95" customHeight="1" x14ac:dyDescent="0.15">
      <c r="A11" t="s">
        <v>26</v>
      </c>
      <c r="B11" s="3" t="s">
        <v>19</v>
      </c>
      <c r="C11" s="44">
        <v>3.2530000000000001</v>
      </c>
      <c r="D11" s="44">
        <v>4.3841999999999999</v>
      </c>
      <c r="E11" s="44">
        <v>13.279500000000001</v>
      </c>
      <c r="F11" s="44">
        <v>9.7516999999999996</v>
      </c>
      <c r="G11" s="45">
        <v>30.668399999999998</v>
      </c>
      <c r="H11" s="45">
        <v>0.10607009169047001</v>
      </c>
      <c r="I11" s="45">
        <v>0.24902505510558101</v>
      </c>
      <c r="J11" s="45">
        <v>0.43300269984739997</v>
      </c>
      <c r="K11" s="45">
        <v>0.31797224504701899</v>
      </c>
      <c r="L11" s="4">
        <v>0.39741901335517699</v>
      </c>
      <c r="M11" s="4">
        <v>9.2531234851099698E-3</v>
      </c>
      <c r="N11" s="4">
        <v>0.17499999999999999</v>
      </c>
      <c r="O11" s="4">
        <v>164.863</v>
      </c>
      <c r="P11" s="4">
        <v>154.06727035252399</v>
      </c>
      <c r="Q11" s="4">
        <v>0.24902505510558101</v>
      </c>
      <c r="R11" s="44"/>
      <c r="S11" s="3" t="s">
        <v>19</v>
      </c>
      <c r="T11">
        <v>4.2666571310037096</v>
      </c>
      <c r="U11">
        <v>0.39739999999999998</v>
      </c>
      <c r="V11">
        <v>9.2999999999999992E-3</v>
      </c>
      <c r="W11">
        <v>-1.25995533831434</v>
      </c>
      <c r="X11">
        <v>164.863</v>
      </c>
      <c r="Y11">
        <v>1.04006006043042</v>
      </c>
      <c r="Z11">
        <v>0.249</v>
      </c>
      <c r="AB11" t="s">
        <v>93</v>
      </c>
      <c r="AK11" s="3" t="s">
        <v>19</v>
      </c>
      <c r="AL11">
        <v>-1.38171</v>
      </c>
      <c r="AM11">
        <v>2.9017300000000001</v>
      </c>
    </row>
    <row r="12" spans="1:46" ht="12.95" customHeight="1" x14ac:dyDescent="0.15">
      <c r="A12" t="s">
        <v>26</v>
      </c>
      <c r="B12" s="3" t="s">
        <v>19</v>
      </c>
      <c r="C12" s="44">
        <v>1.4439</v>
      </c>
      <c r="D12" s="44">
        <v>1.3956</v>
      </c>
      <c r="E12" s="44">
        <v>5.5880000000000001</v>
      </c>
      <c r="F12" s="44">
        <v>6.3571</v>
      </c>
      <c r="G12" s="45">
        <v>14.784599999999999</v>
      </c>
      <c r="H12" s="45">
        <v>9.76624325311473E-2</v>
      </c>
      <c r="I12" s="45">
        <v>0.192057952193499</v>
      </c>
      <c r="J12" s="45">
        <v>0.37796085115593298</v>
      </c>
      <c r="K12" s="45">
        <v>0.429981196650569</v>
      </c>
      <c r="L12" s="4">
        <v>0.35117806965256898</v>
      </c>
      <c r="M12" s="4">
        <v>1.1935880087147801E-2</v>
      </c>
      <c r="N12" s="4">
        <v>0.16</v>
      </c>
      <c r="O12" s="4">
        <v>96.463999999999999</v>
      </c>
      <c r="P12" s="4">
        <v>197.073016480505</v>
      </c>
      <c r="Q12" s="4">
        <v>0.192057952193499</v>
      </c>
      <c r="R12" s="44"/>
      <c r="S12" s="3" t="s">
        <v>19</v>
      </c>
      <c r="T12">
        <v>3.1992923574936301</v>
      </c>
      <c r="U12">
        <v>0.35120000000000001</v>
      </c>
      <c r="V12">
        <v>1.1900000000000001E-2</v>
      </c>
      <c r="W12">
        <v>-1.3041890907237901</v>
      </c>
      <c r="X12">
        <v>96.463999999999999</v>
      </c>
      <c r="Y12">
        <v>1.0418592692626101</v>
      </c>
      <c r="Z12">
        <v>0.19209999999999999</v>
      </c>
      <c r="AK12" s="3" t="s">
        <v>19</v>
      </c>
      <c r="AL12">
        <v>-2.8628900000000002</v>
      </c>
      <c r="AM12">
        <v>2.8216700000000001</v>
      </c>
    </row>
    <row r="13" spans="1:46" ht="12.95" customHeight="1" x14ac:dyDescent="0.15">
      <c r="A13" t="s">
        <v>26</v>
      </c>
      <c r="B13" s="3" t="s">
        <v>19</v>
      </c>
      <c r="C13" s="44">
        <v>3.0598999999999998</v>
      </c>
      <c r="D13" s="44">
        <v>3.5912000000000002</v>
      </c>
      <c r="E13" s="44">
        <v>9.2172999999999998</v>
      </c>
      <c r="F13" s="44">
        <v>6.1894</v>
      </c>
      <c r="G13" s="45">
        <v>22.0578</v>
      </c>
      <c r="H13" s="45">
        <v>0.13872190336298301</v>
      </c>
      <c r="I13" s="45">
        <v>0.30153052434966299</v>
      </c>
      <c r="J13" s="45">
        <v>0.41787032251629802</v>
      </c>
      <c r="K13" s="45">
        <v>0.28059915313403899</v>
      </c>
      <c r="L13" s="4">
        <v>0.37917404271152799</v>
      </c>
      <c r="M13" s="4">
        <v>7.7848444092987598E-3</v>
      </c>
      <c r="N13" s="4">
        <v>0.18</v>
      </c>
      <c r="O13" s="4">
        <v>88.887</v>
      </c>
      <c r="P13" s="4">
        <v>155.622151268301</v>
      </c>
      <c r="Q13" s="4">
        <v>0.30153052434966299</v>
      </c>
      <c r="R13" s="44"/>
      <c r="S13" s="3" t="s">
        <v>19</v>
      </c>
      <c r="T13">
        <v>3.77255566118692</v>
      </c>
      <c r="U13">
        <v>0.37919999999999998</v>
      </c>
      <c r="V13">
        <v>7.7999999999999996E-3</v>
      </c>
      <c r="W13">
        <v>-1.2457232789677</v>
      </c>
      <c r="X13">
        <v>88.887</v>
      </c>
      <c r="Y13">
        <v>1.0401420074963901</v>
      </c>
      <c r="Z13">
        <v>0.30149999999999999</v>
      </c>
      <c r="AK13" s="3" t="s">
        <v>19</v>
      </c>
      <c r="AL13">
        <v>-2.2547700000000002</v>
      </c>
      <c r="AM13">
        <v>0.69179000000000002</v>
      </c>
      <c r="AP13" t="s">
        <v>38</v>
      </c>
      <c r="AQ13" t="s">
        <v>71</v>
      </c>
      <c r="AR13" t="s">
        <v>39</v>
      </c>
      <c r="AS13" t="s">
        <v>72</v>
      </c>
    </row>
    <row r="14" spans="1:46" ht="12.95" customHeight="1" x14ac:dyDescent="0.15">
      <c r="A14" t="s">
        <v>26</v>
      </c>
      <c r="B14" s="3" t="s">
        <v>19</v>
      </c>
      <c r="C14" s="44">
        <v>1.4389000000000001</v>
      </c>
      <c r="D14" s="44">
        <v>3.7113</v>
      </c>
      <c r="E14" s="44">
        <v>7.1985999999999999</v>
      </c>
      <c r="F14" s="44">
        <v>5.5648999999999997</v>
      </c>
      <c r="G14" s="45">
        <v>17.913699999999999</v>
      </c>
      <c r="H14" s="45">
        <v>8.0323997834059996E-2</v>
      </c>
      <c r="I14" s="45">
        <v>0.28750062801096399</v>
      </c>
      <c r="J14" s="45">
        <v>0.40184886427706201</v>
      </c>
      <c r="K14" s="45">
        <v>0.310650507711975</v>
      </c>
      <c r="L14" s="4">
        <v>0.41938465933193098</v>
      </c>
      <c r="M14" s="4">
        <v>9.3346091253560404E-3</v>
      </c>
      <c r="N14" s="4">
        <v>0.155</v>
      </c>
      <c r="O14" s="4">
        <v>103.46299999999999</v>
      </c>
      <c r="P14" s="4">
        <v>169.965662574449</v>
      </c>
      <c r="Q14" s="4">
        <v>0.28750062801096399</v>
      </c>
      <c r="R14" s="44"/>
      <c r="S14" s="3" t="s">
        <v>19</v>
      </c>
      <c r="T14">
        <v>3.4708164298137398</v>
      </c>
      <c r="U14">
        <v>0.4194</v>
      </c>
      <c r="V14">
        <v>9.2999999999999992E-3</v>
      </c>
      <c r="W14">
        <v>-1.3194888696773801</v>
      </c>
      <c r="X14">
        <v>103.46299999999999</v>
      </c>
      <c r="Y14">
        <v>1.04082877890097</v>
      </c>
      <c r="Z14">
        <v>0.28749999999999998</v>
      </c>
      <c r="AK14" s="3" t="s">
        <v>19</v>
      </c>
      <c r="AL14">
        <v>-2.2764099999999998</v>
      </c>
      <c r="AM14">
        <v>0.99761999999999995</v>
      </c>
      <c r="AO14" s="36" t="s">
        <v>24</v>
      </c>
      <c r="AP14" s="37">
        <f t="shared" ref="AP14:AP20" si="0">AP3</f>
        <v>-1.68339142857143</v>
      </c>
      <c r="AQ14" t="e">
        <f t="shared" ref="AQ14:AQ20" si="1">AQ3/SQRT(AT3)</f>
        <v>#NUM!</v>
      </c>
      <c r="AR14" s="38">
        <f t="shared" ref="AR14:AR20" si="2">AR3</f>
        <v>-1.0752542857142899</v>
      </c>
      <c r="AS14" t="e">
        <f t="shared" ref="AS14:AS20" si="3">AS3/SQRT(AT3)</f>
        <v>#NUM!</v>
      </c>
    </row>
    <row r="15" spans="1:46" ht="12.95" customHeight="1" x14ac:dyDescent="0.15">
      <c r="A15" t="s">
        <v>26</v>
      </c>
      <c r="B15" s="3" t="s">
        <v>19</v>
      </c>
      <c r="C15" s="44">
        <v>2.5573000000000001</v>
      </c>
      <c r="D15" s="44">
        <v>2.6707999999999998</v>
      </c>
      <c r="E15" s="44">
        <v>7.5350999999999999</v>
      </c>
      <c r="F15" s="44">
        <v>9.1388999999999996</v>
      </c>
      <c r="G15" s="45">
        <v>21.902100000000001</v>
      </c>
      <c r="H15" s="45">
        <v>0.116760493286032</v>
      </c>
      <c r="I15" s="45">
        <v>0.238703138055255</v>
      </c>
      <c r="J15" s="45">
        <v>0.34403550344487499</v>
      </c>
      <c r="K15" s="45">
        <v>0.41726135849987001</v>
      </c>
      <c r="L15" s="4">
        <v>0.37561706743872397</v>
      </c>
      <c r="M15" s="4">
        <v>9.5325783220996108E-3</v>
      </c>
      <c r="N15" s="4">
        <v>0.155</v>
      </c>
      <c r="O15" s="4">
        <v>82.322000000000003</v>
      </c>
      <c r="P15" s="4">
        <v>180.50235314087899</v>
      </c>
      <c r="Q15" s="4">
        <v>0.238703138055255</v>
      </c>
      <c r="R15" s="44"/>
      <c r="S15" s="3" t="s">
        <v>19</v>
      </c>
      <c r="T15">
        <v>3.76213523195268</v>
      </c>
      <c r="U15">
        <v>0.37559999999999999</v>
      </c>
      <c r="V15">
        <v>9.4999999999999998E-3</v>
      </c>
      <c r="W15">
        <v>-1.3194888696773801</v>
      </c>
      <c r="X15">
        <v>82.322000000000003</v>
      </c>
      <c r="Y15">
        <v>1.04126524593109</v>
      </c>
      <c r="Z15">
        <v>0.2387</v>
      </c>
      <c r="AK15" s="3" t="s">
        <v>19</v>
      </c>
      <c r="AL15">
        <v>-2.62486</v>
      </c>
      <c r="AM15">
        <v>1.60148</v>
      </c>
      <c r="AO15" s="39" t="s">
        <v>22</v>
      </c>
      <c r="AP15" s="37">
        <f t="shared" si="0"/>
        <v>2.4410871428571399</v>
      </c>
      <c r="AQ15">
        <f t="shared" si="1"/>
        <v>1.5623978823773219</v>
      </c>
      <c r="AR15" s="38">
        <f t="shared" si="2"/>
        <v>0.53197714285714304</v>
      </c>
      <c r="AS15">
        <f t="shared" si="3"/>
        <v>0.53734787459072209</v>
      </c>
    </row>
    <row r="16" spans="1:46" ht="12.95" customHeight="1" x14ac:dyDescent="0.15">
      <c r="A16" t="s">
        <v>26</v>
      </c>
      <c r="B16" s="3" t="s">
        <v>20</v>
      </c>
      <c r="C16" s="44">
        <v>2.8182999999999998</v>
      </c>
      <c r="D16" s="44">
        <v>6.8371000000000004</v>
      </c>
      <c r="E16" s="44">
        <v>13.228400000000001</v>
      </c>
      <c r="F16" s="44">
        <v>9.7636400000000005</v>
      </c>
      <c r="G16" s="45">
        <v>32.647440000000003</v>
      </c>
      <c r="H16" s="45">
        <v>8.6325298400119599E-2</v>
      </c>
      <c r="I16" s="45">
        <v>0.29574753793865599</v>
      </c>
      <c r="J16" s="45">
        <v>0.40518950337300602</v>
      </c>
      <c r="K16" s="45">
        <v>0.29906295868833799</v>
      </c>
      <c r="L16" s="4">
        <v>0.47370607443799501</v>
      </c>
      <c r="M16" s="4">
        <v>1.2582757517649999E-2</v>
      </c>
      <c r="N16" s="4">
        <v>0.23499999999999999</v>
      </c>
      <c r="O16" s="4">
        <v>47.991500000000002</v>
      </c>
      <c r="P16" s="4">
        <v>114.895342436672</v>
      </c>
      <c r="Q16" s="4">
        <v>0.29574753793865599</v>
      </c>
      <c r="R16" s="44"/>
      <c r="S16" s="3" t="s">
        <v>20</v>
      </c>
      <c r="T16">
        <v>4.3627220048992603</v>
      </c>
      <c r="U16">
        <v>0.47370000000000001</v>
      </c>
      <c r="V16">
        <v>1.26E-2</v>
      </c>
      <c r="W16">
        <v>-1.1028818017879001</v>
      </c>
      <c r="X16">
        <v>47.991500000000002</v>
      </c>
      <c r="Y16">
        <v>1.0372843251419399</v>
      </c>
      <c r="Z16">
        <v>0.29570000000000002</v>
      </c>
      <c r="AK16" s="3" t="s">
        <v>20</v>
      </c>
      <c r="AL16">
        <v>0.29905999999999999</v>
      </c>
      <c r="AM16">
        <v>-0.48673</v>
      </c>
      <c r="AO16" s="39" t="s">
        <v>21</v>
      </c>
      <c r="AP16" s="37">
        <f t="shared" si="0"/>
        <v>2.16812</v>
      </c>
      <c r="AQ16">
        <f t="shared" si="1"/>
        <v>1.4724537344174857</v>
      </c>
      <c r="AR16" s="38">
        <f t="shared" si="2"/>
        <v>-0.113687142857143</v>
      </c>
      <c r="AS16">
        <f t="shared" si="3"/>
        <v>0.86162759965134672</v>
      </c>
    </row>
    <row r="17" spans="1:51" ht="12.95" customHeight="1" x14ac:dyDescent="0.15">
      <c r="A17" t="s">
        <v>26</v>
      </c>
      <c r="B17" s="3" t="s">
        <v>20</v>
      </c>
      <c r="C17" s="44">
        <v>2.6446000000000001</v>
      </c>
      <c r="D17" s="44">
        <v>3.0743999999999998</v>
      </c>
      <c r="E17" s="44">
        <v>7.7088999999999999</v>
      </c>
      <c r="F17" s="44">
        <v>7.4779</v>
      </c>
      <c r="G17" s="45">
        <v>20.905799999999999</v>
      </c>
      <c r="H17" s="45">
        <v>0.126500779687934</v>
      </c>
      <c r="I17" s="45">
        <v>0.27356044733997298</v>
      </c>
      <c r="J17" s="45">
        <v>0.36874455892623098</v>
      </c>
      <c r="K17" s="45">
        <v>0.35769499373379599</v>
      </c>
      <c r="L17" s="4">
        <v>0.46379318869411301</v>
      </c>
      <c r="M17" s="4">
        <v>1.01445293974513E-2</v>
      </c>
      <c r="N17" s="4">
        <v>0.23499999999999999</v>
      </c>
      <c r="O17" s="4">
        <v>45.609000000000002</v>
      </c>
      <c r="P17" s="4">
        <v>107.771829051038</v>
      </c>
      <c r="Q17" s="4">
        <v>0.27356044733997298</v>
      </c>
      <c r="R17" s="44"/>
      <c r="S17" s="3" t="s">
        <v>20</v>
      </c>
      <c r="T17">
        <v>3.69402965364378</v>
      </c>
      <c r="U17">
        <v>0.46379999999999999</v>
      </c>
      <c r="V17">
        <v>1.01E-2</v>
      </c>
      <c r="W17">
        <v>-1.1028818017879001</v>
      </c>
      <c r="X17">
        <v>45.609000000000002</v>
      </c>
      <c r="Y17">
        <v>1.0365684546071201</v>
      </c>
      <c r="Z17">
        <v>0.27360000000000001</v>
      </c>
      <c r="AK17" s="3" t="s">
        <v>20</v>
      </c>
      <c r="AL17">
        <v>-0.39056000000000002</v>
      </c>
      <c r="AM17">
        <v>-0.63641999999999999</v>
      </c>
      <c r="AO17" s="39" t="s">
        <v>23</v>
      </c>
      <c r="AP17" s="37">
        <f t="shared" si="0"/>
        <v>0.48972714285714303</v>
      </c>
      <c r="AQ17">
        <f t="shared" si="1"/>
        <v>0.69980507490096344</v>
      </c>
      <c r="AR17" s="38">
        <f t="shared" si="2"/>
        <v>-1.7318442857142899</v>
      </c>
      <c r="AS17">
        <f t="shared" si="3"/>
        <v>1.0601813323427853</v>
      </c>
    </row>
    <row r="18" spans="1:51" ht="12.95" customHeight="1" x14ac:dyDescent="0.15">
      <c r="A18" t="s">
        <v>26</v>
      </c>
      <c r="B18" s="3" t="s">
        <v>20</v>
      </c>
      <c r="C18" s="44">
        <v>3.3866000000000001</v>
      </c>
      <c r="D18" s="44">
        <v>6.9851000000000001</v>
      </c>
      <c r="E18" s="44">
        <v>15.2288</v>
      </c>
      <c r="F18" s="44">
        <v>14.7462</v>
      </c>
      <c r="G18" s="45">
        <v>40.346699999999998</v>
      </c>
      <c r="H18" s="45">
        <v>8.3937471961771398E-2</v>
      </c>
      <c r="I18" s="45">
        <v>0.25706439436186801</v>
      </c>
      <c r="J18" s="45">
        <v>0.37744846542592098</v>
      </c>
      <c r="K18" s="45">
        <v>0.36548714021221101</v>
      </c>
      <c r="L18" s="4">
        <v>0.47641909098051599</v>
      </c>
      <c r="M18" s="4">
        <v>1.3410238214832001E-2</v>
      </c>
      <c r="N18" s="4">
        <v>0.2</v>
      </c>
      <c r="O18" s="4">
        <v>84.177999999999997</v>
      </c>
      <c r="P18" s="4">
        <v>121.919646692398</v>
      </c>
      <c r="Q18" s="4">
        <v>0.25706439436186801</v>
      </c>
      <c r="R18" s="44"/>
      <c r="S18" s="3" t="s">
        <v>20</v>
      </c>
      <c r="T18">
        <v>4.6936398219459896</v>
      </c>
      <c r="U18">
        <v>0.47639999999999999</v>
      </c>
      <c r="V18">
        <v>1.34E-2</v>
      </c>
      <c r="W18">
        <v>-1.19106878438349</v>
      </c>
      <c r="X18">
        <v>84.177999999999997</v>
      </c>
      <c r="Y18">
        <v>1.0379101019658199</v>
      </c>
      <c r="Z18">
        <v>0.2571</v>
      </c>
      <c r="AK18" s="3" t="s">
        <v>20</v>
      </c>
      <c r="AL18">
        <v>0.30047000000000001</v>
      </c>
      <c r="AM18">
        <v>0.85502</v>
      </c>
      <c r="AO18" s="39" t="s">
        <v>19</v>
      </c>
      <c r="AP18" s="37">
        <f t="shared" si="0"/>
        <v>-2.2983285714285699</v>
      </c>
      <c r="AQ18" t="e">
        <f t="shared" si="1"/>
        <v>#NUM!</v>
      </c>
      <c r="AR18" s="38">
        <f t="shared" si="2"/>
        <v>1.52763714285714</v>
      </c>
      <c r="AS18" t="e">
        <f t="shared" si="3"/>
        <v>#NUM!</v>
      </c>
    </row>
    <row r="19" spans="1:51" ht="12.95" customHeight="1" x14ac:dyDescent="0.15">
      <c r="A19" t="s">
        <v>26</v>
      </c>
      <c r="B19" s="3" t="s">
        <v>20</v>
      </c>
      <c r="C19" s="44">
        <v>2.3489</v>
      </c>
      <c r="D19" s="44">
        <v>4.9814999999999996</v>
      </c>
      <c r="E19" s="44">
        <v>10.0959</v>
      </c>
      <c r="F19" s="44">
        <v>8.5784000000000002</v>
      </c>
      <c r="G19" s="45">
        <v>26.0047</v>
      </c>
      <c r="H19" s="45">
        <v>9.0325979534468803E-2</v>
      </c>
      <c r="I19" s="45">
        <v>0.28188750495102799</v>
      </c>
      <c r="J19" s="45">
        <v>0.38823366545278398</v>
      </c>
      <c r="K19" s="45">
        <v>0.32987882959618797</v>
      </c>
      <c r="L19" s="4">
        <v>0.48766302621498903</v>
      </c>
      <c r="M19" s="4">
        <v>9.3547561386386497E-3</v>
      </c>
      <c r="N19" s="4">
        <v>0.16</v>
      </c>
      <c r="O19" s="4">
        <v>57.564999999999998</v>
      </c>
      <c r="P19" s="4">
        <v>143.82667531858201</v>
      </c>
      <c r="Q19" s="4">
        <v>0.28188750495102799</v>
      </c>
      <c r="R19" s="44"/>
      <c r="S19" s="3" t="s">
        <v>20</v>
      </c>
      <c r="T19">
        <v>4.01683897385018</v>
      </c>
      <c r="U19">
        <v>0.48770000000000002</v>
      </c>
      <c r="V19">
        <v>9.4000000000000004E-3</v>
      </c>
      <c r="W19">
        <v>-1.3041890907237901</v>
      </c>
      <c r="X19">
        <v>57.564999999999998</v>
      </c>
      <c r="Y19">
        <v>1.03947717045261</v>
      </c>
      <c r="Z19">
        <v>0.28189999999999998</v>
      </c>
      <c r="AK19" s="3" t="s">
        <v>20</v>
      </c>
      <c r="AL19">
        <v>-1.3164899999999999</v>
      </c>
      <c r="AM19">
        <v>-0.40955000000000003</v>
      </c>
      <c r="AO19" s="39" t="s">
        <v>18</v>
      </c>
      <c r="AP19" s="37">
        <f t="shared" si="0"/>
        <v>-0.53473857142857095</v>
      </c>
      <c r="AQ19" t="e">
        <f t="shared" si="1"/>
        <v>#NUM!</v>
      </c>
      <c r="AR19" s="38">
        <f t="shared" si="2"/>
        <v>0.98314428571428603</v>
      </c>
      <c r="AS19" t="e">
        <f t="shared" si="3"/>
        <v>#NUM!</v>
      </c>
    </row>
    <row r="20" spans="1:51" ht="12.95" customHeight="1" x14ac:dyDescent="0.15">
      <c r="A20" t="s">
        <v>26</v>
      </c>
      <c r="B20" s="3" t="s">
        <v>20</v>
      </c>
      <c r="C20" s="44">
        <v>2.8182</v>
      </c>
      <c r="D20" s="44">
        <v>4.0648999999999997</v>
      </c>
      <c r="E20" s="44">
        <v>8.2951999999999995</v>
      </c>
      <c r="F20" s="44">
        <v>6.7175000000000002</v>
      </c>
      <c r="G20" s="45">
        <v>21.895800000000001</v>
      </c>
      <c r="H20" s="45">
        <v>0.12870961554270699</v>
      </c>
      <c r="I20" s="45">
        <v>0.314357091314316</v>
      </c>
      <c r="J20" s="45">
        <v>0.37884891166342399</v>
      </c>
      <c r="K20" s="45">
        <v>0.30679399702226001</v>
      </c>
      <c r="L20" s="4">
        <v>0.41495270541780499</v>
      </c>
      <c r="M20" s="4">
        <v>1.21619636205599E-2</v>
      </c>
      <c r="N20" s="4">
        <v>0.21</v>
      </c>
      <c r="O20" s="4">
        <v>102.515</v>
      </c>
      <c r="P20" s="4">
        <v>137.90271731610201</v>
      </c>
      <c r="Q20" s="4">
        <v>0.314357091314316</v>
      </c>
      <c r="R20" s="44"/>
      <c r="S20" s="3" t="s">
        <v>20</v>
      </c>
      <c r="T20">
        <v>3.7617331497050102</v>
      </c>
      <c r="U20">
        <v>0.41499999999999998</v>
      </c>
      <c r="V20">
        <v>1.2200000000000001E-2</v>
      </c>
      <c r="W20">
        <v>-1.1649787003801699</v>
      </c>
      <c r="X20">
        <v>102.515</v>
      </c>
      <c r="Y20">
        <v>1.0391014178681399</v>
      </c>
      <c r="Z20">
        <v>0.31440000000000001</v>
      </c>
      <c r="AK20" s="3" t="s">
        <v>20</v>
      </c>
      <c r="AL20">
        <v>-0.86824999999999997</v>
      </c>
      <c r="AM20">
        <v>0.86880000000000002</v>
      </c>
      <c r="AO20" s="39" t="s">
        <v>20</v>
      </c>
      <c r="AP20" s="37">
        <f t="shared" si="0"/>
        <v>-0.58247428571428606</v>
      </c>
      <c r="AQ20" t="e">
        <f t="shared" si="1"/>
        <v>#NUM!</v>
      </c>
      <c r="AR20" s="38">
        <f t="shared" si="2"/>
        <v>-0.12197142857142899</v>
      </c>
      <c r="AS20" t="e">
        <f t="shared" si="3"/>
        <v>#NUM!</v>
      </c>
    </row>
    <row r="21" spans="1:51" ht="12.95" customHeight="1" x14ac:dyDescent="0.15">
      <c r="A21" t="s">
        <v>26</v>
      </c>
      <c r="B21" s="3" t="s">
        <v>20</v>
      </c>
      <c r="C21" s="44">
        <v>1.6404000000000001</v>
      </c>
      <c r="D21" s="44">
        <v>4.6981000000000002</v>
      </c>
      <c r="E21" s="44">
        <v>7.0115999999999996</v>
      </c>
      <c r="F21" s="44">
        <v>7.8475000000000001</v>
      </c>
      <c r="G21" s="45">
        <v>21.197600000000001</v>
      </c>
      <c r="H21" s="45">
        <v>7.7386119183303806E-2</v>
      </c>
      <c r="I21" s="45">
        <v>0.299019700343435</v>
      </c>
      <c r="J21" s="45">
        <v>0.33077329509001002</v>
      </c>
      <c r="K21" s="45">
        <v>0.37020700456655498</v>
      </c>
      <c r="L21" s="4">
        <v>0.455875071866227</v>
      </c>
      <c r="M21" s="4">
        <v>9.9178924200943996E-3</v>
      </c>
      <c r="N21" s="4">
        <v>0.2</v>
      </c>
      <c r="O21" s="4">
        <v>80.510499999999993</v>
      </c>
      <c r="P21" s="4">
        <v>121.976587222096</v>
      </c>
      <c r="Q21" s="4">
        <v>0.299019700343435</v>
      </c>
      <c r="R21" s="44"/>
      <c r="S21" s="3" t="s">
        <v>20</v>
      </c>
      <c r="T21">
        <v>3.7142856732037699</v>
      </c>
      <c r="U21">
        <v>0.45590000000000003</v>
      </c>
      <c r="V21">
        <v>9.9000000000000008E-3</v>
      </c>
      <c r="W21">
        <v>-1.19106878438349</v>
      </c>
      <c r="X21">
        <v>80.510499999999993</v>
      </c>
      <c r="Y21">
        <v>1.0379148918543799</v>
      </c>
      <c r="Z21">
        <v>0.29899999999999999</v>
      </c>
      <c r="AK21" s="3" t="s">
        <v>20</v>
      </c>
      <c r="AL21">
        <v>-0.86595999999999995</v>
      </c>
      <c r="AM21">
        <v>-6.5460000000000004E-2</v>
      </c>
    </row>
    <row r="22" spans="1:51" ht="12.95" customHeight="1" x14ac:dyDescent="0.15">
      <c r="A22" t="s">
        <v>26</v>
      </c>
      <c r="B22" s="3" t="s">
        <v>20</v>
      </c>
      <c r="C22" s="44">
        <v>2.1046999999999998</v>
      </c>
      <c r="D22" s="44">
        <v>3.3128000000000002</v>
      </c>
      <c r="E22" s="44">
        <v>7.173</v>
      </c>
      <c r="F22" s="44">
        <v>5.5774999999999997</v>
      </c>
      <c r="G22" s="45">
        <v>18.167999999999999</v>
      </c>
      <c r="H22" s="45">
        <v>0.115846543372963</v>
      </c>
      <c r="I22" s="45">
        <v>0.298189123734038</v>
      </c>
      <c r="J22" s="45">
        <v>0.39481505944517797</v>
      </c>
      <c r="K22" s="45">
        <v>0.30699581682078397</v>
      </c>
      <c r="L22" s="4">
        <v>0.46751189930635101</v>
      </c>
      <c r="M22" s="4">
        <v>9.5459879998697292E-3</v>
      </c>
      <c r="N22" s="4">
        <v>0.17499999999999999</v>
      </c>
      <c r="O22" s="4">
        <v>46.947499999999998</v>
      </c>
      <c r="P22" s="4">
        <v>113.773184993543</v>
      </c>
      <c r="Q22" s="4">
        <v>0.298189123734038</v>
      </c>
      <c r="R22" s="44"/>
      <c r="S22" s="3" t="s">
        <v>20</v>
      </c>
      <c r="T22">
        <v>3.49098648424782</v>
      </c>
      <c r="U22">
        <v>0.46750000000000003</v>
      </c>
      <c r="V22">
        <v>9.4999999999999998E-3</v>
      </c>
      <c r="W22">
        <v>-1.25995533831434</v>
      </c>
      <c r="X22">
        <v>46.947499999999998</v>
      </c>
      <c r="Y22">
        <v>1.0371773727835201</v>
      </c>
      <c r="Z22">
        <v>0.29820000000000002</v>
      </c>
      <c r="AK22" s="3" t="s">
        <v>20</v>
      </c>
      <c r="AL22">
        <v>-1.23559</v>
      </c>
      <c r="AM22">
        <v>-0.97946</v>
      </c>
    </row>
    <row r="23" spans="1:51" ht="12.95" customHeight="1" x14ac:dyDescent="0.15">
      <c r="A23" t="s">
        <v>26</v>
      </c>
      <c r="B23" s="3" t="s">
        <v>21</v>
      </c>
      <c r="C23" s="44">
        <v>10.2728</v>
      </c>
      <c r="D23" s="44">
        <v>10.1424</v>
      </c>
      <c r="E23" s="44">
        <v>24.555800000000001</v>
      </c>
      <c r="F23" s="44">
        <v>26.0946</v>
      </c>
      <c r="G23" s="45">
        <v>71.065600000000003</v>
      </c>
      <c r="H23" s="45">
        <v>0.14455376440922199</v>
      </c>
      <c r="I23" s="45">
        <v>0.28727260446685898</v>
      </c>
      <c r="J23" s="45">
        <v>0.34553708123198801</v>
      </c>
      <c r="K23" s="45">
        <v>0.36719031430115301</v>
      </c>
      <c r="L23" s="4">
        <v>0.53758943843128104</v>
      </c>
      <c r="M23" s="4">
        <v>1.64399447493167E-2</v>
      </c>
      <c r="N23" s="4">
        <v>0.2</v>
      </c>
      <c r="O23" s="4">
        <v>119.958</v>
      </c>
      <c r="P23" s="4">
        <v>100.511293348481</v>
      </c>
      <c r="Q23" s="4">
        <v>0.28727260446685898</v>
      </c>
      <c r="R23" s="44"/>
      <c r="S23" s="3" t="s">
        <v>21</v>
      </c>
      <c r="T23">
        <v>5.62222970041819</v>
      </c>
      <c r="U23">
        <v>0.53759999999999997</v>
      </c>
      <c r="V23">
        <v>1.6400000000000001E-2</v>
      </c>
      <c r="W23">
        <v>-1.19106878438349</v>
      </c>
      <c r="X23">
        <v>119.958</v>
      </c>
      <c r="Y23">
        <v>1.03573698563697</v>
      </c>
      <c r="Z23">
        <v>0.2873</v>
      </c>
      <c r="AK23" s="3" t="s">
        <v>21</v>
      </c>
      <c r="AL23">
        <v>2.2625899999999999</v>
      </c>
      <c r="AM23">
        <v>0.96504999999999996</v>
      </c>
    </row>
    <row r="24" spans="1:51" ht="12.95" customHeight="1" x14ac:dyDescent="0.15">
      <c r="A24" t="s">
        <v>26</v>
      </c>
      <c r="B24" s="3" t="s">
        <v>21</v>
      </c>
      <c r="C24" s="44">
        <v>6.4606000000000003</v>
      </c>
      <c r="D24" s="44">
        <v>11</v>
      </c>
      <c r="E24" s="44">
        <v>21.4696</v>
      </c>
      <c r="F24" s="44">
        <v>21.024999999999999</v>
      </c>
      <c r="G24" s="45">
        <v>59.955199999999998</v>
      </c>
      <c r="H24" s="45">
        <v>0.107757125320239</v>
      </c>
      <c r="I24" s="45">
        <v>0.29122744982920601</v>
      </c>
      <c r="J24" s="45">
        <v>0.358094043552519</v>
      </c>
      <c r="K24" s="45">
        <v>0.35067850661827499</v>
      </c>
      <c r="L24" s="4">
        <v>0.46021432643433802</v>
      </c>
      <c r="M24" s="4">
        <v>1.4808132734204201E-2</v>
      </c>
      <c r="N24" s="4">
        <v>0.23</v>
      </c>
      <c r="O24" s="4">
        <v>97.064499999999995</v>
      </c>
      <c r="P24" s="4">
        <v>110.19380630382901</v>
      </c>
      <c r="Q24" s="4">
        <v>0.29122744982920601</v>
      </c>
      <c r="R24" s="44"/>
      <c r="S24" s="3" t="s">
        <v>21</v>
      </c>
      <c r="T24">
        <v>5.3364502486469698</v>
      </c>
      <c r="U24">
        <v>0.4602</v>
      </c>
      <c r="V24">
        <v>1.4800000000000001E-2</v>
      </c>
      <c r="W24">
        <v>-1.11496921658143</v>
      </c>
      <c r="X24">
        <v>97.064499999999995</v>
      </c>
      <c r="Y24">
        <v>1.03682199387672</v>
      </c>
      <c r="Z24">
        <v>0.29120000000000001</v>
      </c>
      <c r="AK24" s="3" t="s">
        <v>21</v>
      </c>
      <c r="AL24">
        <v>1.2902100000000001</v>
      </c>
      <c r="AM24">
        <v>0.97657000000000005</v>
      </c>
      <c r="AP24" t="s">
        <v>46</v>
      </c>
      <c r="AQ24" t="s">
        <v>48</v>
      </c>
      <c r="AR24" t="s">
        <v>49</v>
      </c>
    </row>
    <row r="25" spans="1:51" ht="12.95" customHeight="1" x14ac:dyDescent="0.15">
      <c r="A25" t="s">
        <v>26</v>
      </c>
      <c r="B25" s="3" t="s">
        <v>21</v>
      </c>
      <c r="C25" s="44">
        <v>7.7919</v>
      </c>
      <c r="D25" s="44">
        <v>12.584099999999999</v>
      </c>
      <c r="E25" s="44">
        <v>29.196999999999999</v>
      </c>
      <c r="F25" s="44">
        <v>24.710799999999999</v>
      </c>
      <c r="G25" s="45">
        <v>74.283799999999999</v>
      </c>
      <c r="H25" s="45">
        <v>0.10489366456750999</v>
      </c>
      <c r="I25" s="45">
        <v>0.27429937617623201</v>
      </c>
      <c r="J25" s="45">
        <v>0.39304666697180302</v>
      </c>
      <c r="K25" s="45">
        <v>0.33265395685196503</v>
      </c>
      <c r="L25" s="4">
        <v>0.56669519212528696</v>
      </c>
      <c r="M25" s="4">
        <v>1.7188314330464301E-2</v>
      </c>
      <c r="N25" s="4">
        <v>0.23499999999999999</v>
      </c>
      <c r="O25" s="4">
        <v>130.34200000000001</v>
      </c>
      <c r="P25" s="4">
        <v>89.679460743215103</v>
      </c>
      <c r="Q25" s="4">
        <v>0.27429937617623201</v>
      </c>
      <c r="R25" s="44"/>
      <c r="S25" s="3" t="s">
        <v>21</v>
      </c>
      <c r="T25">
        <v>5.6976680576761698</v>
      </c>
      <c r="U25">
        <v>0.56669999999999998</v>
      </c>
      <c r="V25">
        <v>1.72E-2</v>
      </c>
      <c r="W25">
        <v>-1.1028818017879001</v>
      </c>
      <c r="X25">
        <v>130.34200000000001</v>
      </c>
      <c r="Y25">
        <v>1.03425266719012</v>
      </c>
      <c r="Z25">
        <v>0.27429999999999999</v>
      </c>
      <c r="AK25" s="3" t="s">
        <v>21</v>
      </c>
      <c r="AL25">
        <v>3.2647400000000002</v>
      </c>
      <c r="AM25">
        <v>1.0476099999999999</v>
      </c>
      <c r="AO25" t="s">
        <v>61</v>
      </c>
      <c r="AP25" t="s">
        <v>62</v>
      </c>
      <c r="AQ25" t="s">
        <v>55</v>
      </c>
      <c r="AR25" t="s">
        <v>56</v>
      </c>
      <c r="AS25" s="34" t="s">
        <v>18</v>
      </c>
      <c r="AT25" s="34" t="s">
        <v>19</v>
      </c>
      <c r="AU25" s="34" t="s">
        <v>20</v>
      </c>
      <c r="AV25" s="34" t="s">
        <v>21</v>
      </c>
      <c r="AW25" s="34" t="s">
        <v>22</v>
      </c>
      <c r="AX25" s="34" t="s">
        <v>23</v>
      </c>
      <c r="AY25" s="35" t="s">
        <v>24</v>
      </c>
    </row>
    <row r="26" spans="1:51" ht="12.95" customHeight="1" x14ac:dyDescent="0.15">
      <c r="A26" t="s">
        <v>26</v>
      </c>
      <c r="B26" s="3" t="s">
        <v>21</v>
      </c>
      <c r="C26" s="44">
        <v>6.2378999999999998</v>
      </c>
      <c r="D26" s="44">
        <v>12.8666</v>
      </c>
      <c r="E26" s="44">
        <v>16.9864</v>
      </c>
      <c r="F26" s="44">
        <v>13.379</v>
      </c>
      <c r="G26" s="45">
        <v>49.469900000000003</v>
      </c>
      <c r="H26" s="45">
        <v>0.12609485768113499</v>
      </c>
      <c r="I26" s="45">
        <v>0.38618432622665499</v>
      </c>
      <c r="J26" s="45">
        <v>0.34336839168868299</v>
      </c>
      <c r="K26" s="45">
        <v>0.27044728208466201</v>
      </c>
      <c r="L26" s="4">
        <v>0.53652665920151599</v>
      </c>
      <c r="M26" s="4">
        <v>1.41883868710889E-2</v>
      </c>
      <c r="N26" s="4">
        <v>0.19</v>
      </c>
      <c r="O26" s="4">
        <v>43.240499999999997</v>
      </c>
      <c r="P26" s="4">
        <v>93.471521517730096</v>
      </c>
      <c r="Q26" s="4">
        <v>0.38618432622665499</v>
      </c>
      <c r="R26" s="44"/>
      <c r="S26" s="3" t="s">
        <v>21</v>
      </c>
      <c r="T26">
        <v>5.0205229703615197</v>
      </c>
      <c r="U26">
        <v>0.53649999999999998</v>
      </c>
      <c r="V26">
        <v>1.4200000000000001E-2</v>
      </c>
      <c r="W26">
        <v>-1.2179606812083099</v>
      </c>
      <c r="X26">
        <v>43.240499999999997</v>
      </c>
      <c r="Y26">
        <v>1.03481051704708</v>
      </c>
      <c r="Z26">
        <v>0.38619999999999999</v>
      </c>
      <c r="AK26" s="3" t="s">
        <v>21</v>
      </c>
      <c r="AL26">
        <v>1.42245</v>
      </c>
      <c r="AM26">
        <v>-2.1374200000000001</v>
      </c>
      <c r="AO26" t="s">
        <v>63</v>
      </c>
      <c r="AP26">
        <v>2.2877999999999998</v>
      </c>
      <c r="AQ26">
        <v>8.0000000000000004E-4</v>
      </c>
      <c r="AR26">
        <v>1707</v>
      </c>
      <c r="AS26" t="s">
        <v>64</v>
      </c>
      <c r="AT26" t="s">
        <v>65</v>
      </c>
      <c r="AU26" t="s">
        <v>66</v>
      </c>
      <c r="AV26" t="s">
        <v>94</v>
      </c>
      <c r="AW26" t="s">
        <v>94</v>
      </c>
      <c r="AX26" t="s">
        <v>69</v>
      </c>
      <c r="AY26" t="s">
        <v>95</v>
      </c>
    </row>
    <row r="27" spans="1:51" ht="12.95" customHeight="1" x14ac:dyDescent="0.15">
      <c r="A27" t="s">
        <v>26</v>
      </c>
      <c r="B27" s="3" t="s">
        <v>21</v>
      </c>
      <c r="C27" s="44">
        <v>7.3758999999999997</v>
      </c>
      <c r="D27" s="44">
        <v>18.704699999999999</v>
      </c>
      <c r="E27" s="44">
        <v>27.377099999999999</v>
      </c>
      <c r="F27" s="44">
        <v>23.513400000000001</v>
      </c>
      <c r="G27" s="45">
        <v>76.971100000000007</v>
      </c>
      <c r="H27" s="45">
        <v>9.5826875281761606E-2</v>
      </c>
      <c r="I27" s="45">
        <v>0.33883626452005999</v>
      </c>
      <c r="J27" s="45">
        <v>0.35568024882066102</v>
      </c>
      <c r="K27" s="45">
        <v>0.30548348665927899</v>
      </c>
      <c r="L27" s="4">
        <v>0.55175121738445498</v>
      </c>
      <c r="M27" s="4">
        <v>1.5474151286822301E-2</v>
      </c>
      <c r="N27" s="4">
        <v>0.22500000000000001</v>
      </c>
      <c r="O27" s="4">
        <v>69.097999999999999</v>
      </c>
      <c r="P27" s="4">
        <v>78.314107828115496</v>
      </c>
      <c r="Q27" s="4">
        <v>0.33883626452005999</v>
      </c>
      <c r="R27" s="44"/>
      <c r="S27" s="3" t="s">
        <v>21</v>
      </c>
      <c r="T27">
        <v>5.7584966501629999</v>
      </c>
      <c r="U27">
        <v>0.55179999999999996</v>
      </c>
      <c r="V27">
        <v>1.55E-2</v>
      </c>
      <c r="W27">
        <v>-1.1272166910310699</v>
      </c>
      <c r="X27">
        <v>69.097999999999999</v>
      </c>
      <c r="Y27">
        <v>1.0322653693393999</v>
      </c>
      <c r="Z27">
        <v>0.33879999999999999</v>
      </c>
      <c r="AK27" s="3" t="s">
        <v>21</v>
      </c>
      <c r="AL27">
        <v>3.0076299999999998</v>
      </c>
      <c r="AM27">
        <v>-1.18858</v>
      </c>
      <c r="AO27" t="s">
        <v>70</v>
      </c>
      <c r="AP27">
        <v>1.8834</v>
      </c>
      <c r="AQ27">
        <v>9.2999999999999992E-3</v>
      </c>
      <c r="AR27">
        <v>1709</v>
      </c>
    </row>
    <row r="28" spans="1:51" ht="12.95" customHeight="1" x14ac:dyDescent="0.15">
      <c r="A28" t="s">
        <v>26</v>
      </c>
      <c r="B28" s="3" t="s">
        <v>21</v>
      </c>
      <c r="C28" s="44">
        <v>5.6921999999999997</v>
      </c>
      <c r="D28" s="44">
        <v>10.984</v>
      </c>
      <c r="E28" s="44">
        <v>17.171700000000001</v>
      </c>
      <c r="F28" s="44">
        <v>18.013000000000002</v>
      </c>
      <c r="G28" s="45">
        <v>51.860900000000001</v>
      </c>
      <c r="H28" s="45">
        <v>0.10975898991340299</v>
      </c>
      <c r="I28" s="45">
        <v>0.32155631699411302</v>
      </c>
      <c r="J28" s="45">
        <v>0.33111072117915402</v>
      </c>
      <c r="K28" s="45">
        <v>0.34733296182673301</v>
      </c>
      <c r="L28" s="4">
        <v>0.50568131759921697</v>
      </c>
      <c r="M28" s="4">
        <v>1.51030439785314E-2</v>
      </c>
      <c r="N28" s="4">
        <v>0.245</v>
      </c>
      <c r="O28" s="4">
        <v>65.180999999999997</v>
      </c>
      <c r="P28" s="4">
        <v>80.516142756480406</v>
      </c>
      <c r="Q28" s="4">
        <v>0.32155631699411302</v>
      </c>
      <c r="R28" s="44"/>
      <c r="S28" s="3" t="s">
        <v>21</v>
      </c>
      <c r="T28">
        <v>5.0973997362533199</v>
      </c>
      <c r="U28">
        <v>0.50570000000000004</v>
      </c>
      <c r="V28">
        <v>1.5100000000000001E-2</v>
      </c>
      <c r="W28">
        <v>-1.0791657166688999</v>
      </c>
      <c r="X28">
        <v>65.180999999999997</v>
      </c>
      <c r="Y28">
        <v>1.0326931772666701</v>
      </c>
      <c r="Z28">
        <v>0.3216</v>
      </c>
      <c r="AK28" s="3" t="s">
        <v>21</v>
      </c>
      <c r="AL28">
        <v>2.2849200000000001</v>
      </c>
      <c r="AM28">
        <v>-0.81220000000000003</v>
      </c>
      <c r="AO28" t="s">
        <v>73</v>
      </c>
      <c r="AP28">
        <v>3.0367000000000002</v>
      </c>
      <c r="AQ28">
        <v>6.9999999999999999E-4</v>
      </c>
      <c r="AR28">
        <v>1710</v>
      </c>
    </row>
    <row r="29" spans="1:51" ht="12.95" customHeight="1" x14ac:dyDescent="0.15">
      <c r="A29" t="s">
        <v>26</v>
      </c>
      <c r="B29" s="3" t="s">
        <v>21</v>
      </c>
      <c r="C29" s="44">
        <v>8.1879000000000008</v>
      </c>
      <c r="D29" s="44">
        <v>10.738099999999999</v>
      </c>
      <c r="E29" s="44">
        <v>20.043900000000001</v>
      </c>
      <c r="F29" s="44">
        <v>22.028099999999998</v>
      </c>
      <c r="G29" s="45">
        <v>60.997999999999998</v>
      </c>
      <c r="H29" s="45">
        <v>0.134232269910489</v>
      </c>
      <c r="I29" s="45">
        <v>0.31027246794976898</v>
      </c>
      <c r="J29" s="45">
        <v>0.32859929833765</v>
      </c>
      <c r="K29" s="45">
        <v>0.36112823371258101</v>
      </c>
      <c r="L29" s="4">
        <v>0.50250600711942395</v>
      </c>
      <c r="M29" s="4">
        <v>1.5014223206476199E-2</v>
      </c>
      <c r="N29" s="4">
        <v>0.20499999999999999</v>
      </c>
      <c r="O29" s="4">
        <v>98.649000000000001</v>
      </c>
      <c r="P29" s="4">
        <v>100.060798960065</v>
      </c>
      <c r="Q29" s="4">
        <v>0.31027246794976898</v>
      </c>
      <c r="R29" s="44"/>
      <c r="S29" s="3" t="s">
        <v>21</v>
      </c>
      <c r="T29">
        <v>5.3651661259794698</v>
      </c>
      <c r="U29">
        <v>0.50249999999999995</v>
      </c>
      <c r="V29">
        <v>1.4999999999999999E-2</v>
      </c>
      <c r="W29">
        <v>-1.1779274743981301</v>
      </c>
      <c r="X29">
        <v>98.649000000000001</v>
      </c>
      <c r="Y29">
        <v>1.0356815134341599</v>
      </c>
      <c r="Z29">
        <v>0.31030000000000002</v>
      </c>
      <c r="AK29" s="3" t="s">
        <v>21</v>
      </c>
      <c r="AL29">
        <v>1.6443000000000001</v>
      </c>
      <c r="AM29">
        <v>0.35315999999999997</v>
      </c>
      <c r="AO29" t="s">
        <v>74</v>
      </c>
      <c r="AP29">
        <v>3.2322000000000002</v>
      </c>
      <c r="AQ29">
        <v>8.9999999999999998E-4</v>
      </c>
      <c r="AR29">
        <v>1712</v>
      </c>
    </row>
    <row r="30" spans="1:51" ht="12.95" customHeight="1" x14ac:dyDescent="0.15">
      <c r="A30" t="s">
        <v>26</v>
      </c>
      <c r="B30" s="3" t="s">
        <v>22</v>
      </c>
      <c r="C30" s="44">
        <v>5.4286000000000003</v>
      </c>
      <c r="D30" s="44">
        <v>11.1571</v>
      </c>
      <c r="E30" s="44">
        <v>18.496300000000002</v>
      </c>
      <c r="F30" s="44">
        <v>20.831800000000001</v>
      </c>
      <c r="G30" s="45">
        <v>55.913800000000002</v>
      </c>
      <c r="H30" s="45">
        <v>9.70887330140323E-2</v>
      </c>
      <c r="I30" s="45">
        <v>0.29662981231824698</v>
      </c>
      <c r="J30" s="45">
        <v>0.33080026755469999</v>
      </c>
      <c r="K30" s="45">
        <v>0.37256992012705298</v>
      </c>
      <c r="L30" s="4">
        <v>0.51503434044784202</v>
      </c>
      <c r="M30" s="4">
        <v>1.04768011378952E-2</v>
      </c>
      <c r="N30" s="4">
        <v>0.23499999999999999</v>
      </c>
      <c r="O30" s="4">
        <v>68.222499999999997</v>
      </c>
      <c r="P30" s="4">
        <v>82.490522631274402</v>
      </c>
      <c r="Q30" s="4">
        <v>0.29662981231824698</v>
      </c>
      <c r="R30" s="44"/>
      <c r="S30" s="3" t="s">
        <v>22</v>
      </c>
      <c r="T30">
        <v>5.22089381817276</v>
      </c>
      <c r="U30">
        <v>0.51500000000000001</v>
      </c>
      <c r="V30">
        <v>1.0500000000000001E-2</v>
      </c>
      <c r="W30">
        <v>-1.1028818017879001</v>
      </c>
      <c r="X30">
        <v>68.222499999999997</v>
      </c>
      <c r="Y30">
        <v>1.0330577855029499</v>
      </c>
      <c r="Z30">
        <v>0.29659999999999997</v>
      </c>
      <c r="AK30" s="3" t="s">
        <v>22</v>
      </c>
      <c r="AL30">
        <v>1.68913</v>
      </c>
      <c r="AM30">
        <v>-0.92386999999999997</v>
      </c>
      <c r="AO30" t="s">
        <v>75</v>
      </c>
      <c r="AP30">
        <v>3.4262000000000001</v>
      </c>
      <c r="AQ30">
        <v>8.9999999999999998E-4</v>
      </c>
      <c r="AR30">
        <v>1709</v>
      </c>
    </row>
    <row r="31" spans="1:51" ht="12.95" customHeight="1" x14ac:dyDescent="0.15">
      <c r="A31" t="s">
        <v>26</v>
      </c>
      <c r="B31" s="3" t="s">
        <v>22</v>
      </c>
      <c r="C31" s="44">
        <v>9.5503999999999998</v>
      </c>
      <c r="D31" s="44">
        <v>15.440200000000001</v>
      </c>
      <c r="E31" s="44">
        <v>26.854399999999998</v>
      </c>
      <c r="F31" s="44">
        <v>17.985299999999999</v>
      </c>
      <c r="G31" s="45">
        <v>69.830299999999994</v>
      </c>
      <c r="H31" s="45">
        <v>0.136765845199004</v>
      </c>
      <c r="I31" s="45">
        <v>0.35787616550408602</v>
      </c>
      <c r="J31" s="45">
        <v>0.38456658499247498</v>
      </c>
      <c r="K31" s="45">
        <v>0.257557249503439</v>
      </c>
      <c r="L31" s="4">
        <v>0.54954747479858601</v>
      </c>
      <c r="M31" s="4">
        <v>1.7603322707284399E-2</v>
      </c>
      <c r="N31" s="4">
        <v>0.23499999999999999</v>
      </c>
      <c r="O31" s="4">
        <v>139.422</v>
      </c>
      <c r="P31" s="4">
        <v>94.636505663961699</v>
      </c>
      <c r="Q31" s="4">
        <v>0.35787616550408602</v>
      </c>
      <c r="R31" s="44"/>
      <c r="S31" s="3" t="s">
        <v>22</v>
      </c>
      <c r="T31">
        <v>5.5924574220682599</v>
      </c>
      <c r="U31">
        <v>0.54949999999999999</v>
      </c>
      <c r="V31">
        <v>1.7600000000000001E-2</v>
      </c>
      <c r="W31">
        <v>-1.1028818017879001</v>
      </c>
      <c r="X31">
        <v>139.422</v>
      </c>
      <c r="Y31">
        <v>1.03497312960584</v>
      </c>
      <c r="Z31">
        <v>0.3579</v>
      </c>
      <c r="AK31" s="3" t="s">
        <v>22</v>
      </c>
      <c r="AL31">
        <v>3.0941100000000001</v>
      </c>
      <c r="AM31">
        <v>0.47570000000000001</v>
      </c>
      <c r="AO31" t="s">
        <v>76</v>
      </c>
      <c r="AP31">
        <v>2.3847999999999998</v>
      </c>
      <c r="AQ31">
        <v>2.3E-3</v>
      </c>
      <c r="AR31">
        <v>1707</v>
      </c>
    </row>
    <row r="32" spans="1:51" ht="12.95" customHeight="1" x14ac:dyDescent="0.15">
      <c r="A32" t="s">
        <v>26</v>
      </c>
      <c r="B32" s="3" t="s">
        <v>22</v>
      </c>
      <c r="C32" s="44">
        <v>4.9871999999999996</v>
      </c>
      <c r="D32" s="44">
        <v>15.180099999999999</v>
      </c>
      <c r="E32" s="44">
        <v>28.584399999999999</v>
      </c>
      <c r="F32" s="44">
        <v>19.244</v>
      </c>
      <c r="G32" s="45">
        <v>67.995699999999999</v>
      </c>
      <c r="H32" s="45">
        <v>7.3345814514741398E-2</v>
      </c>
      <c r="I32" s="45">
        <v>0.296596696555812</v>
      </c>
      <c r="J32" s="45">
        <v>0.42038540672424901</v>
      </c>
      <c r="K32" s="45">
        <v>0.28301789671993999</v>
      </c>
      <c r="L32" s="4">
        <v>0.46294362951345203</v>
      </c>
      <c r="M32" s="4">
        <v>1.2112921153060899E-2</v>
      </c>
      <c r="N32" s="4">
        <v>0.25</v>
      </c>
      <c r="O32" s="4">
        <v>100.4135</v>
      </c>
      <c r="P32" s="4">
        <v>80.596585520120499</v>
      </c>
      <c r="Q32" s="4">
        <v>0.296596696555812</v>
      </c>
      <c r="R32" s="44"/>
      <c r="S32" s="3" t="s">
        <v>22</v>
      </c>
      <c r="T32">
        <v>5.5474189865127501</v>
      </c>
      <c r="U32">
        <v>0.46289999999999998</v>
      </c>
      <c r="V32">
        <v>1.21E-2</v>
      </c>
      <c r="W32">
        <v>-1.06752704018214</v>
      </c>
      <c r="X32">
        <v>100.4135</v>
      </c>
      <c r="Y32">
        <v>1.0327083841901401</v>
      </c>
      <c r="Z32">
        <v>0.29659999999999997</v>
      </c>
      <c r="AK32" s="3" t="s">
        <v>22</v>
      </c>
      <c r="AL32">
        <v>2.0118100000000001</v>
      </c>
      <c r="AM32">
        <v>0.29458000000000001</v>
      </c>
      <c r="AO32" t="s">
        <v>77</v>
      </c>
      <c r="AP32">
        <v>3.1101000000000001</v>
      </c>
      <c r="AQ32">
        <v>8.9999999999999998E-4</v>
      </c>
      <c r="AR32">
        <v>1710</v>
      </c>
    </row>
    <row r="33" spans="1:44" ht="12.95" customHeight="1" x14ac:dyDescent="0.15">
      <c r="A33" t="s">
        <v>26</v>
      </c>
      <c r="B33" s="3" t="s">
        <v>22</v>
      </c>
      <c r="C33" s="44">
        <v>6.9715999999999996</v>
      </c>
      <c r="D33" s="44">
        <v>7.8319000000000001</v>
      </c>
      <c r="E33" s="44">
        <v>24.8371</v>
      </c>
      <c r="F33" s="44">
        <v>25.538799999999998</v>
      </c>
      <c r="G33" s="45">
        <v>65.179400000000001</v>
      </c>
      <c r="H33" s="45">
        <v>0.106960174533672</v>
      </c>
      <c r="I33" s="45">
        <v>0.22711930456555299</v>
      </c>
      <c r="J33" s="45">
        <v>0.38105751203601101</v>
      </c>
      <c r="K33" s="45">
        <v>0.39182318339843603</v>
      </c>
      <c r="L33" s="4">
        <v>0.50615147116678605</v>
      </c>
      <c r="M33" s="4">
        <v>1.43087371197745E-2</v>
      </c>
      <c r="N33" s="4">
        <v>0.27500000000000002</v>
      </c>
      <c r="O33" s="4">
        <v>75.344499999999996</v>
      </c>
      <c r="P33" s="4">
        <v>85.629301453322896</v>
      </c>
      <c r="Q33" s="4">
        <v>0.22711930456555299</v>
      </c>
      <c r="R33" s="44"/>
      <c r="S33" s="3" t="s">
        <v>22</v>
      </c>
      <c r="T33">
        <v>5.4761240656817298</v>
      </c>
      <c r="U33">
        <v>0.50619999999999998</v>
      </c>
      <c r="V33">
        <v>1.43E-2</v>
      </c>
      <c r="W33">
        <v>-1.0113493245974801</v>
      </c>
      <c r="X33">
        <v>75.344499999999996</v>
      </c>
      <c r="Y33">
        <v>1.0336035865468101</v>
      </c>
      <c r="Z33">
        <v>0.2271</v>
      </c>
      <c r="AK33" s="3" t="s">
        <v>22</v>
      </c>
      <c r="AL33">
        <v>2.4829599999999998</v>
      </c>
      <c r="AM33">
        <v>0.59145000000000003</v>
      </c>
      <c r="AO33" t="s">
        <v>78</v>
      </c>
      <c r="AP33">
        <v>5.4481000000000002</v>
      </c>
      <c r="AQ33">
        <v>5.9999999999999995E-4</v>
      </c>
      <c r="AR33">
        <v>1709</v>
      </c>
    </row>
    <row r="34" spans="1:44" ht="12.95" customHeight="1" x14ac:dyDescent="0.15">
      <c r="A34" t="s">
        <v>26</v>
      </c>
      <c r="B34" s="3" t="s">
        <v>22</v>
      </c>
      <c r="C34" s="44">
        <v>9.1540999999999997</v>
      </c>
      <c r="D34" s="44">
        <v>20.319299999999998</v>
      </c>
      <c r="E34" s="44">
        <v>34.1096</v>
      </c>
      <c r="F34" s="44">
        <v>21.354199999999999</v>
      </c>
      <c r="G34" s="45">
        <v>84.937200000000004</v>
      </c>
      <c r="H34" s="45">
        <v>0.107774920764989</v>
      </c>
      <c r="I34" s="45">
        <v>0.34700225578427302</v>
      </c>
      <c r="J34" s="45">
        <v>0.40158611303410102</v>
      </c>
      <c r="K34" s="45">
        <v>0.25141163118162602</v>
      </c>
      <c r="L34" s="4">
        <v>0.440758468104818</v>
      </c>
      <c r="M34" s="4">
        <v>1.53814871220193E-2</v>
      </c>
      <c r="N34" s="4">
        <v>0.28999999999999998</v>
      </c>
      <c r="O34" s="4">
        <v>117.1995</v>
      </c>
      <c r="P34" s="4">
        <v>80.661216374658594</v>
      </c>
      <c r="Q34" s="4">
        <v>0.34700225578427302</v>
      </c>
      <c r="R34" s="44"/>
      <c r="S34" s="3" t="s">
        <v>22</v>
      </c>
      <c r="T34">
        <v>5.9284954883684602</v>
      </c>
      <c r="U34">
        <v>0.44080000000000003</v>
      </c>
      <c r="V34">
        <v>1.54E-2</v>
      </c>
      <c r="W34">
        <v>-0.97911561125128299</v>
      </c>
      <c r="X34">
        <v>117.1995</v>
      </c>
      <c r="Y34">
        <v>1.0327205660666301</v>
      </c>
      <c r="Z34">
        <v>0.34699999999999998</v>
      </c>
      <c r="AK34" s="3" t="s">
        <v>22</v>
      </c>
      <c r="AL34">
        <v>2.9247200000000002</v>
      </c>
      <c r="AM34">
        <v>0.60911000000000004</v>
      </c>
      <c r="AO34" t="s">
        <v>79</v>
      </c>
      <c r="AP34">
        <v>5.1929999999999996</v>
      </c>
      <c r="AQ34">
        <v>5.9999999999999995E-4</v>
      </c>
      <c r="AR34">
        <v>1709</v>
      </c>
    </row>
    <row r="35" spans="1:44" ht="12.95" customHeight="1" x14ac:dyDescent="0.15">
      <c r="A35" t="s">
        <v>26</v>
      </c>
      <c r="B35" s="3" t="s">
        <v>22</v>
      </c>
      <c r="C35" s="44">
        <v>4.7019000000000002</v>
      </c>
      <c r="D35" s="44">
        <v>7.3242000000000003</v>
      </c>
      <c r="E35" s="44">
        <v>24.019100000000002</v>
      </c>
      <c r="F35" s="44">
        <v>16.463899999999999</v>
      </c>
      <c r="G35" s="45">
        <v>52.509099999999997</v>
      </c>
      <c r="H35" s="45">
        <v>8.9544478956980797E-2</v>
      </c>
      <c r="I35" s="45">
        <v>0.22902887309056899</v>
      </c>
      <c r="J35" s="45">
        <v>0.45742737925426302</v>
      </c>
      <c r="K35" s="45">
        <v>0.31354374765516801</v>
      </c>
      <c r="L35" s="4">
        <v>0.43614011325156299</v>
      </c>
      <c r="M35" s="4">
        <v>1.6325841063342301E-2</v>
      </c>
      <c r="N35" s="4">
        <v>0.28999999999999998</v>
      </c>
      <c r="O35" s="4">
        <v>107.214</v>
      </c>
      <c r="P35" s="4">
        <v>89.6529329495322</v>
      </c>
      <c r="Q35" s="4">
        <v>0.22902887309056899</v>
      </c>
      <c r="R35" s="44"/>
      <c r="S35" s="3" t="s">
        <v>22</v>
      </c>
      <c r="T35">
        <v>5.1176994764354298</v>
      </c>
      <c r="U35">
        <v>0.43609999999999999</v>
      </c>
      <c r="V35">
        <v>1.6299999999999999E-2</v>
      </c>
      <c r="W35">
        <v>-0.97911561125128299</v>
      </c>
      <c r="X35">
        <v>107.214</v>
      </c>
      <c r="Y35">
        <v>1.03424859124767</v>
      </c>
      <c r="Z35">
        <v>0.22900000000000001</v>
      </c>
      <c r="AK35" s="3" t="s">
        <v>22</v>
      </c>
      <c r="AL35">
        <v>2.12595</v>
      </c>
      <c r="AM35">
        <v>1.9466399999999999</v>
      </c>
      <c r="AO35" t="s">
        <v>80</v>
      </c>
      <c r="AP35">
        <v>5.1307999999999998</v>
      </c>
      <c r="AQ35">
        <v>6.9999999999999999E-4</v>
      </c>
      <c r="AR35">
        <v>1708</v>
      </c>
    </row>
    <row r="36" spans="1:44" ht="12.95" customHeight="1" x14ac:dyDescent="0.15">
      <c r="A36" t="s">
        <v>26</v>
      </c>
      <c r="B36" s="3" t="s">
        <v>22</v>
      </c>
      <c r="C36" s="44">
        <v>4.9230999999999998</v>
      </c>
      <c r="D36" s="44">
        <v>12.198399999999999</v>
      </c>
      <c r="E36" s="44">
        <v>27.637599999999999</v>
      </c>
      <c r="F36" s="44">
        <v>24.428100000000001</v>
      </c>
      <c r="G36" s="45">
        <v>69.187200000000004</v>
      </c>
      <c r="H36" s="45">
        <v>7.1156225428981104E-2</v>
      </c>
      <c r="I36" s="45">
        <v>0.24746629434346201</v>
      </c>
      <c r="J36" s="45">
        <v>0.39946117200869502</v>
      </c>
      <c r="K36" s="45">
        <v>0.35307253364784202</v>
      </c>
      <c r="L36" s="4">
        <v>0.52405051082874099</v>
      </c>
      <c r="M36" s="4">
        <v>1.4870656545632599E-2</v>
      </c>
      <c r="N36" s="4">
        <v>0.25</v>
      </c>
      <c r="O36" s="4">
        <v>100.6245</v>
      </c>
      <c r="P36" s="4">
        <v>82.673384505122499</v>
      </c>
      <c r="Q36" s="4">
        <v>0.24746629434346201</v>
      </c>
      <c r="R36" s="44"/>
      <c r="S36" s="3" t="s">
        <v>22</v>
      </c>
      <c r="T36">
        <v>5.5767861564269596</v>
      </c>
      <c r="U36">
        <v>0.52410000000000001</v>
      </c>
      <c r="V36">
        <v>1.49E-2</v>
      </c>
      <c r="W36">
        <v>-1.06752704018214</v>
      </c>
      <c r="X36">
        <v>100.6245</v>
      </c>
      <c r="Y36">
        <v>1.0330907001602301</v>
      </c>
      <c r="Z36">
        <v>0.2475</v>
      </c>
      <c r="AK36" s="3" t="s">
        <v>22</v>
      </c>
      <c r="AL36">
        <v>2.7589299999999999</v>
      </c>
      <c r="AM36">
        <v>0.73023000000000005</v>
      </c>
      <c r="AO36" t="s">
        <v>81</v>
      </c>
      <c r="AP36">
        <v>2.8252999999999999</v>
      </c>
      <c r="AQ36">
        <v>6.9999999999999999E-4</v>
      </c>
      <c r="AR36">
        <v>1707</v>
      </c>
    </row>
    <row r="37" spans="1:44" ht="12.95" customHeight="1" x14ac:dyDescent="0.15">
      <c r="A37" t="s">
        <v>26</v>
      </c>
      <c r="B37" s="3" t="s">
        <v>23</v>
      </c>
      <c r="C37" s="44">
        <v>3.5356999999999998</v>
      </c>
      <c r="D37" s="44">
        <v>5.3760000000000003</v>
      </c>
      <c r="E37" s="44">
        <v>10.162800000000001</v>
      </c>
      <c r="F37" s="44">
        <v>9.5690000000000008</v>
      </c>
      <c r="G37" s="45">
        <v>28.6435</v>
      </c>
      <c r="H37" s="45">
        <v>0.123438127323826</v>
      </c>
      <c r="I37" s="45">
        <v>0.31112468797458398</v>
      </c>
      <c r="J37" s="45">
        <v>0.35480300940876602</v>
      </c>
      <c r="K37" s="45">
        <v>0.33407230261665</v>
      </c>
      <c r="L37" s="4">
        <v>0.51494258521082203</v>
      </c>
      <c r="M37" s="4">
        <v>6.4956206361952403E-3</v>
      </c>
      <c r="N37" s="4">
        <v>0.18</v>
      </c>
      <c r="O37" s="4">
        <v>42.247500000000002</v>
      </c>
      <c r="P37" s="4">
        <v>92.047806052551493</v>
      </c>
      <c r="Q37" s="4">
        <v>0.31112468797458398</v>
      </c>
      <c r="R37" s="44"/>
      <c r="S37" s="3" t="s">
        <v>23</v>
      </c>
      <c r="T37">
        <v>4.1626194635886602</v>
      </c>
      <c r="U37">
        <v>0.51490000000000002</v>
      </c>
      <c r="V37">
        <v>6.4999999999999997E-3</v>
      </c>
      <c r="W37">
        <v>-1.2457232789677</v>
      </c>
      <c r="X37">
        <v>42.247500000000002</v>
      </c>
      <c r="Y37">
        <v>1.03460633746543</v>
      </c>
      <c r="Z37">
        <v>0.31109999999999999</v>
      </c>
      <c r="AK37" s="3" t="s">
        <v>23</v>
      </c>
      <c r="AL37">
        <v>-0.35621000000000003</v>
      </c>
      <c r="AM37">
        <v>-2.0398700000000001</v>
      </c>
      <c r="AO37" t="s">
        <v>82</v>
      </c>
      <c r="AP37">
        <v>3.4662999999999999</v>
      </c>
      <c r="AQ37">
        <v>8.9999999999999998E-4</v>
      </c>
      <c r="AR37">
        <v>1712</v>
      </c>
    </row>
    <row r="38" spans="1:44" ht="12.95" customHeight="1" x14ac:dyDescent="0.15">
      <c r="A38" t="s">
        <v>26</v>
      </c>
      <c r="B38" s="3" t="s">
        <v>23</v>
      </c>
      <c r="C38" s="44">
        <v>4.4714</v>
      </c>
      <c r="D38" s="44">
        <v>11.4565</v>
      </c>
      <c r="E38" s="44">
        <v>19.091200000000001</v>
      </c>
      <c r="F38" s="44">
        <v>15.427899999999999</v>
      </c>
      <c r="G38" s="45">
        <v>50.447000000000003</v>
      </c>
      <c r="H38" s="45">
        <v>8.8635597756060794E-2</v>
      </c>
      <c r="I38" s="45">
        <v>0.31573532618391598</v>
      </c>
      <c r="J38" s="45">
        <v>0.37844073978630999</v>
      </c>
      <c r="K38" s="45">
        <v>0.30582393402977398</v>
      </c>
      <c r="L38" s="4">
        <v>0.52756765110687198</v>
      </c>
      <c r="M38" s="4">
        <v>1.19156436520745E-2</v>
      </c>
      <c r="N38" s="4">
        <v>0.24</v>
      </c>
      <c r="O38" s="4">
        <v>42.399500000000003</v>
      </c>
      <c r="P38" s="4">
        <v>82.847123381058907</v>
      </c>
      <c r="Q38" s="4">
        <v>0.31573532618391598</v>
      </c>
      <c r="R38" s="44"/>
      <c r="S38" s="3" t="s">
        <v>23</v>
      </c>
      <c r="T38">
        <v>5.0523209639003799</v>
      </c>
      <c r="U38">
        <v>0.52759999999999996</v>
      </c>
      <c r="V38">
        <v>1.1900000000000001E-2</v>
      </c>
      <c r="W38">
        <v>-1.0909490147735299</v>
      </c>
      <c r="X38">
        <v>42.399500000000003</v>
      </c>
      <c r="Y38">
        <v>1.0331218277532599</v>
      </c>
      <c r="Z38">
        <v>0.31569999999999998</v>
      </c>
      <c r="AK38" s="3" t="s">
        <v>23</v>
      </c>
      <c r="AL38">
        <v>1.8018700000000001</v>
      </c>
      <c r="AM38">
        <v>-1.64056</v>
      </c>
      <c r="AO38" t="s">
        <v>83</v>
      </c>
      <c r="AP38">
        <v>3.55</v>
      </c>
      <c r="AQ38">
        <v>5.9999999999999995E-4</v>
      </c>
      <c r="AR38">
        <v>1711</v>
      </c>
    </row>
    <row r="39" spans="1:44" ht="12.95" customHeight="1" x14ac:dyDescent="0.15">
      <c r="A39" t="s">
        <v>26</v>
      </c>
      <c r="B39" s="3" t="s">
        <v>23</v>
      </c>
      <c r="C39" s="44">
        <v>4.3089000000000004</v>
      </c>
      <c r="D39" s="44">
        <v>11.1683</v>
      </c>
      <c r="E39" s="44">
        <v>19.2911</v>
      </c>
      <c r="F39" s="44">
        <v>9.9208999999999996</v>
      </c>
      <c r="G39" s="45">
        <v>44.6892</v>
      </c>
      <c r="H39" s="45">
        <v>9.6419269085148099E-2</v>
      </c>
      <c r="I39" s="45">
        <v>0.34632976200066201</v>
      </c>
      <c r="J39" s="45">
        <v>0.4316725293807</v>
      </c>
      <c r="K39" s="45">
        <v>0.22199770861863699</v>
      </c>
      <c r="L39" s="4">
        <v>0.48436691777809299</v>
      </c>
      <c r="M39" s="4">
        <v>1.11664725283684E-2</v>
      </c>
      <c r="N39" s="4">
        <v>0.24</v>
      </c>
      <c r="O39" s="4">
        <v>66.399500000000003</v>
      </c>
      <c r="P39" s="4">
        <v>105.216786227372</v>
      </c>
      <c r="Q39" s="4">
        <v>0.34632976200066201</v>
      </c>
      <c r="R39" s="44"/>
      <c r="S39" s="3" t="s">
        <v>23</v>
      </c>
      <c r="T39">
        <v>4.8565042909150602</v>
      </c>
      <c r="U39">
        <v>0.4844</v>
      </c>
      <c r="V39">
        <v>1.12E-2</v>
      </c>
      <c r="W39">
        <v>-1.0909490147735299</v>
      </c>
      <c r="X39">
        <v>66.399500000000003</v>
      </c>
      <c r="Y39">
        <v>1.0362886413705601</v>
      </c>
      <c r="Z39">
        <v>0.3463</v>
      </c>
      <c r="AK39" s="3" t="s">
        <v>23</v>
      </c>
      <c r="AL39">
        <v>0.83303000000000005</v>
      </c>
      <c r="AM39">
        <v>-0.95498000000000005</v>
      </c>
      <c r="AO39" t="s">
        <v>84</v>
      </c>
      <c r="AP39">
        <v>2.5222000000000002</v>
      </c>
      <c r="AQ39">
        <v>4.0000000000000002E-4</v>
      </c>
      <c r="AR39">
        <v>1713</v>
      </c>
    </row>
    <row r="40" spans="1:44" ht="12.95" customHeight="1" x14ac:dyDescent="0.15">
      <c r="A40" t="s">
        <v>26</v>
      </c>
      <c r="B40" s="3" t="s">
        <v>23</v>
      </c>
      <c r="C40" s="44">
        <v>3.4295</v>
      </c>
      <c r="D40" s="44">
        <v>4.3799000000000001</v>
      </c>
      <c r="E40" s="44">
        <v>8.6379999999999999</v>
      </c>
      <c r="F40" s="44">
        <v>7.8263999999999996</v>
      </c>
      <c r="G40" s="45">
        <v>24.273800000000001</v>
      </c>
      <c r="H40" s="45">
        <v>0.14128401815949701</v>
      </c>
      <c r="I40" s="45">
        <v>0.32172136212706698</v>
      </c>
      <c r="J40" s="45">
        <v>0.35585693216554498</v>
      </c>
      <c r="K40" s="45">
        <v>0.32242170570738798</v>
      </c>
      <c r="L40" s="4">
        <v>0.490051818044279</v>
      </c>
      <c r="M40" s="4">
        <v>1.37336764487899E-2</v>
      </c>
      <c r="N40" s="4">
        <v>0.23499999999999999</v>
      </c>
      <c r="O40" s="4">
        <v>69.107500000000002</v>
      </c>
      <c r="P40" s="4">
        <v>97.086261721525503</v>
      </c>
      <c r="Q40" s="4">
        <v>0.32172136212706698</v>
      </c>
      <c r="R40" s="44"/>
      <c r="S40" s="3" t="s">
        <v>23</v>
      </c>
      <c r="T40">
        <v>3.9140094677573098</v>
      </c>
      <c r="U40">
        <v>0.49009999999999998</v>
      </c>
      <c r="V40">
        <v>1.37E-2</v>
      </c>
      <c r="W40">
        <v>-1.1028818017879001</v>
      </c>
      <c r="X40">
        <v>69.107500000000002</v>
      </c>
      <c r="Y40">
        <v>1.0353026342542799</v>
      </c>
      <c r="Z40">
        <v>0.32169999999999999</v>
      </c>
      <c r="AK40" s="3" t="s">
        <v>23</v>
      </c>
      <c r="AL40">
        <v>0.75856999999999997</v>
      </c>
      <c r="AM40">
        <v>-0.67988999999999999</v>
      </c>
      <c r="AO40" t="s">
        <v>85</v>
      </c>
      <c r="AP40">
        <v>1.8426</v>
      </c>
      <c r="AQ40">
        <v>2.87E-2</v>
      </c>
      <c r="AR40">
        <v>1711</v>
      </c>
    </row>
    <row r="41" spans="1:44" ht="12.95" customHeight="1" x14ac:dyDescent="0.15">
      <c r="A41" t="s">
        <v>26</v>
      </c>
      <c r="B41" s="3" t="s">
        <v>23</v>
      </c>
      <c r="C41" s="44">
        <v>2.9247000000000001</v>
      </c>
      <c r="D41" s="44">
        <v>9.9808000000000003</v>
      </c>
      <c r="E41" s="44">
        <v>10.4268</v>
      </c>
      <c r="F41" s="44">
        <v>6.6115000000000004</v>
      </c>
      <c r="G41" s="45">
        <v>29.9438</v>
      </c>
      <c r="H41" s="45">
        <v>9.7672974038031296E-2</v>
      </c>
      <c r="I41" s="45">
        <v>0.43099072262037602</v>
      </c>
      <c r="J41" s="45">
        <v>0.34821231774190298</v>
      </c>
      <c r="K41" s="45">
        <v>0.220796959637721</v>
      </c>
      <c r="L41" s="4">
        <v>0.50442878585745499</v>
      </c>
      <c r="M41" s="4">
        <v>9.8261521682121104E-3</v>
      </c>
      <c r="N41" s="4">
        <v>0.19500000000000001</v>
      </c>
      <c r="O41" s="4">
        <v>41.606000000000002</v>
      </c>
      <c r="P41" s="4">
        <v>100.867977920332</v>
      </c>
      <c r="Q41" s="4">
        <v>0.43099072262037602</v>
      </c>
      <c r="R41" s="44"/>
      <c r="S41" s="3" t="s">
        <v>23</v>
      </c>
      <c r="T41">
        <v>4.2301522204206101</v>
      </c>
      <c r="U41">
        <v>0.50439999999999996</v>
      </c>
      <c r="V41">
        <v>9.7999999999999997E-3</v>
      </c>
      <c r="W41">
        <v>-1.20441041650002</v>
      </c>
      <c r="X41">
        <v>41.606000000000002</v>
      </c>
      <c r="Y41">
        <v>1.03578056443588</v>
      </c>
      <c r="Z41">
        <v>0.43099999999999999</v>
      </c>
      <c r="AK41" s="3" t="s">
        <v>23</v>
      </c>
      <c r="AL41">
        <v>5.6579999999999998E-2</v>
      </c>
      <c r="AM41">
        <v>-2.9130199999999999</v>
      </c>
      <c r="AO41" t="s">
        <v>86</v>
      </c>
      <c r="AP41">
        <v>1.4319</v>
      </c>
      <c r="AQ41">
        <v>8.8200000000000001E-2</v>
      </c>
      <c r="AR41">
        <v>1708</v>
      </c>
    </row>
    <row r="42" spans="1:44" ht="12.95" customHeight="1" x14ac:dyDescent="0.15">
      <c r="A42" t="s">
        <v>26</v>
      </c>
      <c r="B42" s="3" t="s">
        <v>23</v>
      </c>
      <c r="C42" s="44">
        <v>3.7376</v>
      </c>
      <c r="D42" s="44">
        <v>5.2157999999999998</v>
      </c>
      <c r="E42" s="44">
        <v>8.8636999999999997</v>
      </c>
      <c r="F42" s="44">
        <v>9.5016999999999996</v>
      </c>
      <c r="G42" s="45">
        <v>27.3188</v>
      </c>
      <c r="H42" s="45">
        <v>0.136814208530389</v>
      </c>
      <c r="I42" s="45">
        <v>0.32773767515410601</v>
      </c>
      <c r="J42" s="45">
        <v>0.32445422200096602</v>
      </c>
      <c r="K42" s="45">
        <v>0.34780810284492703</v>
      </c>
      <c r="L42" s="4">
        <v>0.49769125394715003</v>
      </c>
      <c r="M42" s="4">
        <v>5.6271318558144103E-3</v>
      </c>
      <c r="N42" s="4">
        <v>0.245</v>
      </c>
      <c r="O42" s="4">
        <v>55.926000000000002</v>
      </c>
      <c r="P42" s="4">
        <v>91.1233811886176</v>
      </c>
      <c r="Q42" s="4">
        <v>0.32773767515410601</v>
      </c>
      <c r="R42" s="44"/>
      <c r="S42" s="3" t="s">
        <v>23</v>
      </c>
      <c r="T42">
        <v>4.0909674040165296</v>
      </c>
      <c r="U42">
        <v>0.49769999999999998</v>
      </c>
      <c r="V42">
        <v>5.5999999999999999E-3</v>
      </c>
      <c r="W42">
        <v>-1.0791657166688999</v>
      </c>
      <c r="X42">
        <v>55.926000000000002</v>
      </c>
      <c r="Y42">
        <v>1.03447042886884</v>
      </c>
      <c r="Z42">
        <v>0.32769999999999999</v>
      </c>
      <c r="AK42" s="3" t="s">
        <v>23</v>
      </c>
      <c r="AL42">
        <v>8.0140000000000003E-2</v>
      </c>
      <c r="AM42">
        <v>-1.9215899999999999</v>
      </c>
      <c r="AO42" t="s">
        <v>87</v>
      </c>
      <c r="AP42">
        <v>2.8978999999999999</v>
      </c>
      <c r="AQ42">
        <v>1.6999999999999999E-3</v>
      </c>
      <c r="AR42">
        <v>1708</v>
      </c>
    </row>
    <row r="43" spans="1:44" ht="12.95" customHeight="1" x14ac:dyDescent="0.15">
      <c r="A43" t="s">
        <v>26</v>
      </c>
      <c r="B43" s="3" t="s">
        <v>23</v>
      </c>
      <c r="C43" s="44">
        <v>3.7488000000000001</v>
      </c>
      <c r="D43" s="44">
        <v>6.4101999999999997</v>
      </c>
      <c r="E43" s="44">
        <v>10.415100000000001</v>
      </c>
      <c r="F43" s="44">
        <v>8.7997999999999994</v>
      </c>
      <c r="G43" s="45">
        <v>29.373899999999999</v>
      </c>
      <c r="H43" s="45">
        <v>0.12762350249711499</v>
      </c>
      <c r="I43" s="45">
        <v>0.34585124889783098</v>
      </c>
      <c r="J43" s="45">
        <v>0.35456987325482803</v>
      </c>
      <c r="K43" s="45">
        <v>0.299578877847341</v>
      </c>
      <c r="L43" s="4">
        <v>0.49694607684762898</v>
      </c>
      <c r="M43" s="4">
        <v>8.4521132361716801E-3</v>
      </c>
      <c r="N43" s="4">
        <v>0.215</v>
      </c>
      <c r="O43" s="4">
        <v>50.210999999999999</v>
      </c>
      <c r="P43" s="4">
        <v>89.734764543268597</v>
      </c>
      <c r="Q43" s="4">
        <v>0.34585124889783098</v>
      </c>
      <c r="R43" s="44"/>
      <c r="S43" s="3" t="s">
        <v>23</v>
      </c>
      <c r="T43">
        <v>4.2008642726830701</v>
      </c>
      <c r="U43">
        <v>0.49690000000000001</v>
      </c>
      <c r="V43">
        <v>8.5000000000000006E-3</v>
      </c>
      <c r="W43">
        <v>-1.1522151557675899</v>
      </c>
      <c r="X43">
        <v>50.210999999999999</v>
      </c>
      <c r="Y43">
        <v>1.0342611333054601</v>
      </c>
      <c r="Z43">
        <v>0.34589999999999999</v>
      </c>
      <c r="AK43" s="3" t="s">
        <v>23</v>
      </c>
      <c r="AL43">
        <v>0.25411</v>
      </c>
      <c r="AM43">
        <v>-1.9730000000000001</v>
      </c>
      <c r="AO43" t="s">
        <v>88</v>
      </c>
      <c r="AP43">
        <v>3.9561999999999999</v>
      </c>
      <c r="AQ43">
        <v>6.9999999999999999E-4</v>
      </c>
      <c r="AR43">
        <v>1705</v>
      </c>
    </row>
    <row r="44" spans="1:44" ht="12.95" customHeight="1" x14ac:dyDescent="0.15">
      <c r="A44" t="s">
        <v>26</v>
      </c>
      <c r="B44" s="3" t="s">
        <v>24</v>
      </c>
      <c r="C44" s="44">
        <v>1.0227999999999999</v>
      </c>
      <c r="D44" s="44">
        <v>3.4397000000000002</v>
      </c>
      <c r="E44" s="44">
        <v>5.6993</v>
      </c>
      <c r="F44" s="44">
        <v>5.0173500000000004</v>
      </c>
      <c r="G44" s="45">
        <v>15.17915</v>
      </c>
      <c r="H44" s="45">
        <v>6.7381902148671E-2</v>
      </c>
      <c r="I44" s="45">
        <v>0.226606891690246</v>
      </c>
      <c r="J44" s="45">
        <v>0.37546898212350499</v>
      </c>
      <c r="K44" s="45">
        <v>0.33054222403757799</v>
      </c>
      <c r="L44" s="4">
        <v>0.44159326160573997</v>
      </c>
      <c r="M44" s="4">
        <v>6.5597822780992798E-3</v>
      </c>
      <c r="N44" s="4">
        <v>0.13</v>
      </c>
      <c r="O44" s="4">
        <v>67.814499999999995</v>
      </c>
      <c r="P44" s="4">
        <v>105.968644554034</v>
      </c>
      <c r="Q44" s="4">
        <v>0.29398879383891702</v>
      </c>
      <c r="R44" s="45"/>
      <c r="S44" s="3" t="s">
        <v>24</v>
      </c>
      <c r="T44">
        <v>3.2361092221843801</v>
      </c>
      <c r="U44">
        <v>0.44159999999999999</v>
      </c>
      <c r="V44">
        <v>6.6E-3</v>
      </c>
      <c r="W44">
        <v>-1.4008617228171001</v>
      </c>
      <c r="X44">
        <v>67.814499999999995</v>
      </c>
      <c r="Y44">
        <v>1.0363723438765899</v>
      </c>
      <c r="Z44">
        <v>0.29399999999999998</v>
      </c>
      <c r="AK44" s="3" t="s">
        <v>24</v>
      </c>
      <c r="AL44">
        <v>-2.2617099999999999</v>
      </c>
      <c r="AM44">
        <v>-0.75461</v>
      </c>
      <c r="AO44" t="s">
        <v>89</v>
      </c>
      <c r="AP44">
        <v>3.1920000000000002</v>
      </c>
      <c r="AQ44">
        <v>6.9999999999999999E-4</v>
      </c>
      <c r="AR44">
        <v>1712</v>
      </c>
    </row>
    <row r="45" spans="1:44" x14ac:dyDescent="0.15">
      <c r="A45" t="s">
        <v>26</v>
      </c>
      <c r="B45" s="3" t="s">
        <v>24</v>
      </c>
      <c r="C45" s="44">
        <v>1.7677</v>
      </c>
      <c r="D45" s="44">
        <v>2.9723000000000002</v>
      </c>
      <c r="E45" s="44">
        <v>5.7887000000000004</v>
      </c>
      <c r="F45" s="44">
        <v>5.1978999999999997</v>
      </c>
      <c r="G45" s="45">
        <v>15.726599999999999</v>
      </c>
      <c r="H45" s="45">
        <v>0.112401917769893</v>
      </c>
      <c r="I45" s="45">
        <v>0.18899825772894299</v>
      </c>
      <c r="J45" s="45">
        <v>0.36808337466458102</v>
      </c>
      <c r="K45" s="45">
        <v>0.33051644983658302</v>
      </c>
      <c r="L45" s="4">
        <v>0.48668551546178201</v>
      </c>
      <c r="M45" s="4">
        <v>9.2944204961977108E-3</v>
      </c>
      <c r="N45" s="4">
        <v>0.13</v>
      </c>
      <c r="O45" s="4">
        <v>51.585999999999999</v>
      </c>
      <c r="P45" s="4">
        <v>111.868101540629</v>
      </c>
      <c r="Q45" s="4">
        <v>0.30140017549883602</v>
      </c>
      <c r="R45" s="45"/>
      <c r="S45" s="3" t="s">
        <v>24</v>
      </c>
      <c r="T45">
        <v>3.2859489486813902</v>
      </c>
      <c r="U45">
        <v>0.48670000000000002</v>
      </c>
      <c r="V45">
        <v>9.2999999999999992E-3</v>
      </c>
      <c r="W45">
        <v>-1.4008617228171001</v>
      </c>
      <c r="X45">
        <v>51.585999999999999</v>
      </c>
      <c r="Y45">
        <v>1.0369909910962201</v>
      </c>
      <c r="Z45">
        <v>0.3014</v>
      </c>
      <c r="AK45" s="3" t="s">
        <v>24</v>
      </c>
      <c r="AL45">
        <v>-1.7113799999999999</v>
      </c>
      <c r="AM45">
        <v>-1.1678299999999999</v>
      </c>
      <c r="AO45" t="s">
        <v>90</v>
      </c>
      <c r="AP45">
        <v>4.2032999999999996</v>
      </c>
      <c r="AQ45">
        <v>8.0000000000000004E-4</v>
      </c>
      <c r="AR45">
        <v>1711</v>
      </c>
    </row>
    <row r="46" spans="1:44" x14ac:dyDescent="0.15">
      <c r="A46" t="s">
        <v>26</v>
      </c>
      <c r="B46" s="3" t="s">
        <v>24</v>
      </c>
      <c r="C46" s="44">
        <v>1.1252</v>
      </c>
      <c r="D46" s="44">
        <v>1.8085</v>
      </c>
      <c r="E46" s="44">
        <v>2.7871999999999999</v>
      </c>
      <c r="F46" s="44">
        <v>1.1089</v>
      </c>
      <c r="G46" s="45">
        <v>6.8297999999999996</v>
      </c>
      <c r="H46" s="45">
        <v>0.164748601716009</v>
      </c>
      <c r="I46" s="45">
        <v>0.26479545521098702</v>
      </c>
      <c r="J46" s="45">
        <v>0.40809394125743098</v>
      </c>
      <c r="K46" s="45">
        <v>0.162362001815573</v>
      </c>
      <c r="L46" s="4">
        <v>0.43718876624031799</v>
      </c>
      <c r="M46" s="4">
        <v>3.2476499634360098E-3</v>
      </c>
      <c r="N46" s="4">
        <v>0.13500000000000001</v>
      </c>
      <c r="O46" s="4">
        <v>38.915500000000002</v>
      </c>
      <c r="P46" s="4">
        <v>140.28786805970799</v>
      </c>
      <c r="Q46" s="4">
        <v>0.42954405692699599</v>
      </c>
      <c r="R46" s="45"/>
      <c r="S46" s="3" t="s">
        <v>24</v>
      </c>
      <c r="T46">
        <v>2.1701158997338799</v>
      </c>
      <c r="U46">
        <v>0.43719999999999998</v>
      </c>
      <c r="V46">
        <v>3.2000000000000002E-3</v>
      </c>
      <c r="W46">
        <v>-1.3838749263755801</v>
      </c>
      <c r="X46">
        <v>38.915500000000002</v>
      </c>
      <c r="Y46">
        <v>1.0392564359773</v>
      </c>
      <c r="Z46">
        <v>0.42949999999999999</v>
      </c>
      <c r="AK46" s="3" t="s">
        <v>24</v>
      </c>
      <c r="AL46">
        <v>-3.8197800000000002</v>
      </c>
      <c r="AM46">
        <v>-3.0919400000000001</v>
      </c>
      <c r="AO46" t="s">
        <v>91</v>
      </c>
      <c r="AP46">
        <v>2.4331999999999998</v>
      </c>
      <c r="AQ46">
        <v>1.8E-3</v>
      </c>
      <c r="AR46">
        <v>1711</v>
      </c>
    </row>
    <row r="47" spans="1:44" x14ac:dyDescent="0.15">
      <c r="A47" t="s">
        <v>26</v>
      </c>
      <c r="B47" s="3" t="s">
        <v>24</v>
      </c>
      <c r="C47" s="44">
        <v>1.5066999999999999</v>
      </c>
      <c r="D47" s="44">
        <v>6.4795999999999996</v>
      </c>
      <c r="E47" s="44">
        <v>8.4298999999999999</v>
      </c>
      <c r="F47" s="44">
        <v>8.4030000000000005</v>
      </c>
      <c r="G47" s="45">
        <v>24.819199999999999</v>
      </c>
      <c r="H47" s="45">
        <v>6.0707033264569402E-2</v>
      </c>
      <c r="I47" s="45">
        <v>0.26107207323362602</v>
      </c>
      <c r="J47" s="45">
        <v>0.33965236591026299</v>
      </c>
      <c r="K47" s="45">
        <v>0.33856852759154199</v>
      </c>
      <c r="L47" s="4">
        <v>0.43932608653820499</v>
      </c>
      <c r="M47" s="4">
        <v>9.9926125031698197E-3</v>
      </c>
      <c r="N47" s="4">
        <v>0.15</v>
      </c>
      <c r="O47" s="4">
        <v>71.197000000000003</v>
      </c>
      <c r="P47" s="4">
        <v>130.27188575864301</v>
      </c>
      <c r="Q47" s="4">
        <v>0.32177910649819502</v>
      </c>
      <c r="R47" s="45"/>
      <c r="S47" s="3" t="s">
        <v>24</v>
      </c>
      <c r="T47">
        <v>3.9470593170949302</v>
      </c>
      <c r="U47">
        <v>0.43930000000000002</v>
      </c>
      <c r="V47">
        <v>0.01</v>
      </c>
      <c r="W47">
        <v>-1.3350902753590399</v>
      </c>
      <c r="X47">
        <v>71.197000000000003</v>
      </c>
      <c r="Y47">
        <v>1.0385682720684</v>
      </c>
      <c r="Z47">
        <v>0.32179999999999997</v>
      </c>
      <c r="AK47" s="3" t="s">
        <v>24</v>
      </c>
      <c r="AL47">
        <v>-1.5293600000000001</v>
      </c>
      <c r="AM47">
        <v>-0.29389999999999999</v>
      </c>
    </row>
    <row r="48" spans="1:44" x14ac:dyDescent="0.15">
      <c r="A48" t="s">
        <v>26</v>
      </c>
      <c r="B48" s="3" t="s">
        <v>24</v>
      </c>
      <c r="C48" s="44">
        <v>1.1521999999999999</v>
      </c>
      <c r="D48" s="44">
        <v>5.3109000000000002</v>
      </c>
      <c r="E48" s="44">
        <v>6.6139999999999999</v>
      </c>
      <c r="F48" s="44">
        <v>6.4417999999999997</v>
      </c>
      <c r="G48" s="45">
        <v>19.518899999999999</v>
      </c>
      <c r="H48" s="45">
        <v>5.9029965827992401E-2</v>
      </c>
      <c r="I48" s="45">
        <v>0.27209012802975602</v>
      </c>
      <c r="J48" s="45">
        <v>0.33885106230371598</v>
      </c>
      <c r="K48" s="45">
        <v>0.33002884383853598</v>
      </c>
      <c r="L48" s="4">
        <v>0.47675664273784601</v>
      </c>
      <c r="M48" s="4">
        <v>7.4576711528457299E-3</v>
      </c>
      <c r="N48" s="4">
        <v>0.13</v>
      </c>
      <c r="O48" s="4">
        <v>47.345999999999997</v>
      </c>
      <c r="P48" s="4">
        <v>111.698872229698</v>
      </c>
      <c r="Q48" s="4">
        <v>0.33112009385774799</v>
      </c>
      <c r="R48" s="45"/>
      <c r="S48" s="3" t="s">
        <v>24</v>
      </c>
      <c r="T48">
        <v>3.59429205213545</v>
      </c>
      <c r="U48">
        <v>0.4768</v>
      </c>
      <c r="V48">
        <v>7.4999999999999997E-3</v>
      </c>
      <c r="W48">
        <v>-1.4008617228171001</v>
      </c>
      <c r="X48">
        <v>47.345999999999997</v>
      </c>
      <c r="Y48">
        <v>1.03697413752406</v>
      </c>
      <c r="Z48">
        <v>0.33110000000000001</v>
      </c>
      <c r="AK48" s="3" t="s">
        <v>24</v>
      </c>
      <c r="AL48">
        <v>-1.8279399999999999</v>
      </c>
      <c r="AM48">
        <v>-1.65127</v>
      </c>
    </row>
    <row r="49" spans="1:39" x14ac:dyDescent="0.15">
      <c r="A49" t="s">
        <v>26</v>
      </c>
      <c r="B49" s="3" t="s">
        <v>24</v>
      </c>
      <c r="C49" s="44">
        <v>1.4322999999999999</v>
      </c>
      <c r="D49" s="44">
        <v>3.0015000000000001</v>
      </c>
      <c r="E49" s="44">
        <v>6.0487000000000002</v>
      </c>
      <c r="F49" s="44">
        <v>5.2773000000000003</v>
      </c>
      <c r="G49" s="45">
        <v>15.7598</v>
      </c>
      <c r="H49" s="45">
        <v>9.0883133034683206E-2</v>
      </c>
      <c r="I49" s="45">
        <v>0.190452924529499</v>
      </c>
      <c r="J49" s="45">
        <v>0.38380563205116802</v>
      </c>
      <c r="K49" s="45">
        <v>0.33485831038465003</v>
      </c>
      <c r="L49" s="4">
        <v>0.49038473305998698</v>
      </c>
      <c r="M49" s="4">
        <v>8.49165821712956E-3</v>
      </c>
      <c r="N49" s="4">
        <v>0.19500000000000001</v>
      </c>
      <c r="O49" s="4">
        <v>86.371499999999997</v>
      </c>
      <c r="P49" s="4">
        <v>109.580951604495</v>
      </c>
      <c r="Q49" s="4">
        <v>0.28133605756418201</v>
      </c>
      <c r="R49" s="45"/>
      <c r="S49" s="3" t="s">
        <v>24</v>
      </c>
      <c r="T49">
        <v>3.2889014393257101</v>
      </c>
      <c r="U49">
        <v>0.4904</v>
      </c>
      <c r="V49">
        <v>8.5000000000000006E-3</v>
      </c>
      <c r="W49">
        <v>-1.20441041650002</v>
      </c>
      <c r="X49">
        <v>86.371499999999997</v>
      </c>
      <c r="Y49">
        <v>1.0367588795096301</v>
      </c>
      <c r="Z49">
        <v>0.28129999999999999</v>
      </c>
      <c r="AK49" s="3" t="s">
        <v>24</v>
      </c>
      <c r="AL49">
        <v>-0.86102000000000001</v>
      </c>
      <c r="AM49">
        <v>-0.34115000000000001</v>
      </c>
    </row>
    <row r="50" spans="1:39" x14ac:dyDescent="0.15">
      <c r="A50" t="s">
        <v>26</v>
      </c>
      <c r="B50" s="3" t="s">
        <v>24</v>
      </c>
      <c r="C50" s="44">
        <v>0.78620000000000001</v>
      </c>
      <c r="D50" s="44">
        <v>7.4351000000000003</v>
      </c>
      <c r="E50" s="44">
        <v>9.7798999999999996</v>
      </c>
      <c r="F50" s="44">
        <v>9.5764999999999993</v>
      </c>
      <c r="G50" s="45">
        <v>27.5777</v>
      </c>
      <c r="H50" s="45">
        <v>2.8508541321429999E-2</v>
      </c>
      <c r="I50" s="45">
        <v>0.26960551460056498</v>
      </c>
      <c r="J50" s="45">
        <v>0.354630734252675</v>
      </c>
      <c r="K50" s="45">
        <v>0.34725520982532998</v>
      </c>
      <c r="L50" s="4">
        <v>0.445383645191545</v>
      </c>
      <c r="M50" s="4">
        <v>1.13443012452624E-2</v>
      </c>
      <c r="N50" s="4">
        <v>0.245</v>
      </c>
      <c r="O50" s="4">
        <v>68.911500000000004</v>
      </c>
      <c r="P50" s="4">
        <v>99.905702369897696</v>
      </c>
      <c r="Q50" s="4">
        <v>0.29811405592199502</v>
      </c>
      <c r="R50" s="45"/>
      <c r="S50" s="3" t="s">
        <v>24</v>
      </c>
      <c r="T50">
        <v>4.1052091386079397</v>
      </c>
      <c r="U50">
        <v>0.44540000000000002</v>
      </c>
      <c r="V50">
        <v>1.1299999999999999E-2</v>
      </c>
      <c r="W50">
        <v>-1.0791657166688999</v>
      </c>
      <c r="X50">
        <v>68.911500000000004</v>
      </c>
      <c r="Y50">
        <v>1.0356623021598099</v>
      </c>
      <c r="Z50">
        <v>0.29809999999999998</v>
      </c>
      <c r="AK50" s="3" t="s">
        <v>24</v>
      </c>
      <c r="AL50">
        <v>0.22745000000000001</v>
      </c>
      <c r="AM50">
        <v>-0.22608</v>
      </c>
    </row>
    <row r="106" spans="3:5" x14ac:dyDescent="0.15">
      <c r="C106" s="3"/>
      <c r="D106" s="3"/>
      <c r="E106" s="3"/>
    </row>
    <row r="107" spans="3:5" x14ac:dyDescent="0.15">
      <c r="C107" s="3"/>
      <c r="D107" s="3"/>
      <c r="E107" s="3"/>
    </row>
    <row r="108" spans="3:5" x14ac:dyDescent="0.15">
      <c r="C108" s="3"/>
      <c r="D108" s="3"/>
      <c r="E108" s="3"/>
    </row>
    <row r="109" spans="3:5" x14ac:dyDescent="0.15">
      <c r="C109" s="3"/>
      <c r="D109" s="3"/>
      <c r="E109" s="3"/>
    </row>
    <row r="110" spans="3:5" x14ac:dyDescent="0.15">
      <c r="C110" s="3"/>
      <c r="D110" s="3"/>
      <c r="E110" s="3"/>
    </row>
    <row r="111" spans="3:5" x14ac:dyDescent="0.15">
      <c r="C111" s="3"/>
      <c r="D111" s="3"/>
      <c r="E111" s="3"/>
    </row>
  </sheetData>
  <conditionalFormatting sqref="AQ26:AQ46">
    <cfRule type="cellIs" dxfId="2" priority="2" operator="lessThan">
      <formula>0.05</formula>
    </cfRule>
  </conditionalFormatting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76"/>
  <sheetViews>
    <sheetView topLeftCell="AH21" zoomScaleNormal="100" workbookViewId="0">
      <selection activeCell="AW27" sqref="AW27"/>
    </sheetView>
  </sheetViews>
  <sheetFormatPr defaultColWidth="8.359375" defaultRowHeight="12.75" x14ac:dyDescent="0.15"/>
  <cols>
    <col min="1" max="1" width="6.3359375" customWidth="1"/>
    <col min="2" max="2" width="6.3359375" style="3" customWidth="1"/>
    <col min="3" max="3" width="11.59375" style="3" customWidth="1"/>
    <col min="4" max="4" width="10.24609375" style="3" customWidth="1"/>
    <col min="5" max="5" width="9.9765625" style="3" customWidth="1"/>
    <col min="6" max="6" width="7.8203125" style="3" customWidth="1"/>
    <col min="7" max="7" width="10.65234375" style="3" customWidth="1"/>
    <col min="8" max="8" width="8.62890625" style="3" customWidth="1"/>
    <col min="9" max="9" width="11.32421875" style="3" customWidth="1"/>
    <col min="10" max="10" width="8.76171875" style="3" customWidth="1"/>
    <col min="11" max="11" width="11.8671875" style="3" customWidth="1"/>
    <col min="12" max="12" width="8.22265625" style="58" customWidth="1"/>
    <col min="13" max="14" width="8.62890625" style="58" customWidth="1"/>
    <col min="15" max="15" width="11.19140625" style="58" customWidth="1"/>
    <col min="16" max="16" width="10.65234375" style="58" customWidth="1"/>
    <col min="17" max="17" width="8.22265625" style="58" customWidth="1"/>
    <col min="19" max="19" width="12.80859375" customWidth="1"/>
    <col min="20" max="20" width="14.42578125" customWidth="1"/>
    <col min="21" max="21" width="19.55078125" customWidth="1"/>
    <col min="22" max="22" width="9.9765625" customWidth="1"/>
    <col min="23" max="23" width="10.78515625" customWidth="1"/>
    <col min="984" max="1023" width="11.59375" customWidth="1"/>
  </cols>
  <sheetData>
    <row r="1" spans="1:49" ht="24" x14ac:dyDescent="0.1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58" t="s">
        <v>11</v>
      </c>
      <c r="M1" s="58" t="s">
        <v>12</v>
      </c>
      <c r="N1" s="59" t="s">
        <v>13</v>
      </c>
      <c r="O1" s="59" t="s">
        <v>14</v>
      </c>
      <c r="P1" s="60" t="s">
        <v>15</v>
      </c>
      <c r="Q1" s="60" t="s">
        <v>16</v>
      </c>
      <c r="S1" t="s">
        <v>1</v>
      </c>
      <c r="T1" t="s">
        <v>34</v>
      </c>
      <c r="U1" t="s">
        <v>11</v>
      </c>
      <c r="V1" t="s">
        <v>35</v>
      </c>
      <c r="W1" t="s">
        <v>13</v>
      </c>
      <c r="X1" t="s">
        <v>14</v>
      </c>
      <c r="Y1" t="s">
        <v>15</v>
      </c>
      <c r="Z1" t="s">
        <v>16</v>
      </c>
      <c r="AJ1" s="3" t="s">
        <v>32</v>
      </c>
      <c r="AK1" t="s">
        <v>38</v>
      </c>
      <c r="AL1" t="s">
        <v>39</v>
      </c>
      <c r="AM1" t="s">
        <v>96</v>
      </c>
      <c r="AP1" s="61"/>
      <c r="AQ1" s="62" t="s">
        <v>40</v>
      </c>
      <c r="AR1" s="63"/>
      <c r="AS1" s="63"/>
      <c r="AT1" s="63"/>
      <c r="AU1" s="63"/>
      <c r="AV1" s="63"/>
      <c r="AW1" s="64"/>
    </row>
    <row r="2" spans="1:49" x14ac:dyDescent="0.15">
      <c r="A2" t="s">
        <v>17</v>
      </c>
      <c r="B2" s="3" t="s">
        <v>18</v>
      </c>
      <c r="C2" s="44">
        <v>2.4979</v>
      </c>
      <c r="D2" s="44">
        <v>8.3328000000000007</v>
      </c>
      <c r="E2" s="44">
        <v>2.9338000000000002</v>
      </c>
      <c r="F2" s="44">
        <v>2.4451000000000001</v>
      </c>
      <c r="G2" s="44">
        <v>16.209599999999998</v>
      </c>
      <c r="H2" s="44">
        <v>0.15410003948277601</v>
      </c>
      <c r="I2" s="44">
        <v>0.66816577830421497</v>
      </c>
      <c r="J2" s="44">
        <v>0.180991511203238</v>
      </c>
      <c r="K2" s="44">
        <v>0.15084271049254799</v>
      </c>
      <c r="L2" s="58">
        <v>0.31892789382548797</v>
      </c>
      <c r="M2" s="58">
        <v>2.6491551191519299E-2</v>
      </c>
      <c r="N2" s="65">
        <v>0.18</v>
      </c>
      <c r="O2" s="65">
        <v>125.123</v>
      </c>
      <c r="P2" s="65">
        <v>147.77722095411499</v>
      </c>
      <c r="Q2" s="65">
        <v>0.66816577830421497</v>
      </c>
      <c r="S2" s="3" t="s">
        <v>18</v>
      </c>
      <c r="T2">
        <v>4.9004889080016003</v>
      </c>
      <c r="U2">
        <v>0.31892789399999999</v>
      </c>
      <c r="V2">
        <v>-1.5043640659939099</v>
      </c>
      <c r="W2">
        <v>0.18</v>
      </c>
      <c r="X2">
        <v>125.123</v>
      </c>
      <c r="Y2">
        <v>147.77719999999999</v>
      </c>
      <c r="Z2">
        <v>0.66820000000000002</v>
      </c>
      <c r="AB2" t="s">
        <v>41</v>
      </c>
      <c r="AJ2" s="3" t="s">
        <v>18</v>
      </c>
      <c r="AK2">
        <v>-0.80342999999999998</v>
      </c>
      <c r="AL2">
        <v>1.0405599999999999</v>
      </c>
      <c r="AM2">
        <v>2.33264</v>
      </c>
      <c r="AP2" s="66" t="s">
        <v>32</v>
      </c>
      <c r="AQ2" s="67" t="s">
        <v>42</v>
      </c>
      <c r="AR2" s="68" t="s">
        <v>97</v>
      </c>
      <c r="AS2" s="68" t="s">
        <v>43</v>
      </c>
      <c r="AT2" s="68" t="s">
        <v>98</v>
      </c>
      <c r="AU2" s="68" t="s">
        <v>99</v>
      </c>
      <c r="AV2" s="68" t="s">
        <v>100</v>
      </c>
      <c r="AW2" s="69" t="s">
        <v>101</v>
      </c>
    </row>
    <row r="3" spans="1:49" x14ac:dyDescent="0.15">
      <c r="A3" t="s">
        <v>17</v>
      </c>
      <c r="B3" s="3" t="s">
        <v>18</v>
      </c>
      <c r="C3" s="44">
        <v>1.6997</v>
      </c>
      <c r="D3" s="44">
        <v>5.6914999999999996</v>
      </c>
      <c r="E3" s="44">
        <v>3.3555999999999999</v>
      </c>
      <c r="F3" s="44">
        <v>2.2951000000000001</v>
      </c>
      <c r="G3" s="44">
        <v>13.0419</v>
      </c>
      <c r="H3" s="44">
        <v>0.13032610279177101</v>
      </c>
      <c r="I3" s="44">
        <v>0.56672724066278701</v>
      </c>
      <c r="J3" s="44">
        <v>0.25729379921637202</v>
      </c>
      <c r="K3" s="44">
        <v>0.17597896012084099</v>
      </c>
      <c r="L3" s="58">
        <v>0.28584242639764901</v>
      </c>
      <c r="M3" s="58">
        <v>2.43642656734771E-2</v>
      </c>
      <c r="N3" s="65">
        <v>0.14000000000000001</v>
      </c>
      <c r="O3" s="65">
        <v>90.067499999999995</v>
      </c>
      <c r="P3" s="65">
        <v>190.890187484103</v>
      </c>
      <c r="Q3" s="65">
        <v>0.56672724066278701</v>
      </c>
      <c r="S3" s="3" t="s">
        <v>18</v>
      </c>
      <c r="T3">
        <v>4.3089883689897199</v>
      </c>
      <c r="U3">
        <v>0.28584242599999998</v>
      </c>
      <c r="V3">
        <v>-1.51411602138671</v>
      </c>
      <c r="W3">
        <v>0.14000000000000001</v>
      </c>
      <c r="X3">
        <v>90.067499999999995</v>
      </c>
      <c r="Y3">
        <v>190.89019999999999</v>
      </c>
      <c r="Z3">
        <v>0.56669999999999998</v>
      </c>
      <c r="AC3" t="s">
        <v>45</v>
      </c>
      <c r="AD3" t="s">
        <v>46</v>
      </c>
      <c r="AE3" t="s">
        <v>46</v>
      </c>
      <c r="AF3" t="s">
        <v>47</v>
      </c>
      <c r="AG3" t="s">
        <v>48</v>
      </c>
      <c r="AH3" t="s">
        <v>49</v>
      </c>
      <c r="AJ3" s="3" t="s">
        <v>18</v>
      </c>
      <c r="AK3">
        <v>-2.3664700000000001</v>
      </c>
      <c r="AL3">
        <v>1.14628</v>
      </c>
      <c r="AM3">
        <v>1.6832400000000001</v>
      </c>
      <c r="AP3" s="70" t="s">
        <v>24</v>
      </c>
      <c r="AQ3" s="71">
        <v>-0.11693142857142901</v>
      </c>
      <c r="AR3" s="72">
        <v>1.4618344895761199</v>
      </c>
      <c r="AS3" s="72">
        <v>0.44247714285714301</v>
      </c>
      <c r="AT3" s="72">
        <v>1.23262773485096</v>
      </c>
      <c r="AU3" s="72">
        <v>-0.63009285714285701</v>
      </c>
      <c r="AV3" s="72">
        <v>1.22088610365196</v>
      </c>
      <c r="AW3" s="73">
        <v>7</v>
      </c>
    </row>
    <row r="4" spans="1:49" x14ac:dyDescent="0.15">
      <c r="A4" t="s">
        <v>17</v>
      </c>
      <c r="B4" s="3" t="s">
        <v>18</v>
      </c>
      <c r="C4" s="44">
        <v>0.42309999999999998</v>
      </c>
      <c r="D4" s="44">
        <v>2.2926000000000002</v>
      </c>
      <c r="E4" s="44">
        <v>0.96619999999999995</v>
      </c>
      <c r="F4" s="44">
        <v>1.2084999999999999</v>
      </c>
      <c r="G4" s="44">
        <v>4.8903999999999996</v>
      </c>
      <c r="H4" s="44">
        <v>8.6516440372975595E-2</v>
      </c>
      <c r="I4" s="44">
        <v>0.55531244887943698</v>
      </c>
      <c r="J4" s="44">
        <v>0.197570750858825</v>
      </c>
      <c r="K4" s="44">
        <v>0.24711680026173699</v>
      </c>
      <c r="L4" s="58">
        <v>0.33920307738554201</v>
      </c>
      <c r="M4" s="58">
        <v>1.38766332063883E-2</v>
      </c>
      <c r="N4" s="65">
        <v>0.16</v>
      </c>
      <c r="O4" s="65">
        <v>72.912499999999994</v>
      </c>
      <c r="P4" s="65">
        <v>162.838788114165</v>
      </c>
      <c r="Q4" s="65">
        <v>0.55531244887943698</v>
      </c>
      <c r="S4" s="3" t="s">
        <v>18</v>
      </c>
      <c r="T4">
        <v>2.1661333597171701</v>
      </c>
      <c r="U4">
        <v>0.33920307700000002</v>
      </c>
      <c r="V4">
        <v>-1.56862758759446</v>
      </c>
      <c r="W4">
        <v>0.16</v>
      </c>
      <c r="X4">
        <v>72.912499999999994</v>
      </c>
      <c r="Y4">
        <v>162.83879999999999</v>
      </c>
      <c r="Z4">
        <v>0.55530000000000002</v>
      </c>
      <c r="AB4" t="s">
        <v>50</v>
      </c>
      <c r="AC4" t="s">
        <v>51</v>
      </c>
      <c r="AD4" t="s">
        <v>52</v>
      </c>
      <c r="AE4" t="s">
        <v>53</v>
      </c>
      <c r="AF4" t="s">
        <v>54</v>
      </c>
      <c r="AG4" t="s">
        <v>55</v>
      </c>
      <c r="AH4" t="s">
        <v>56</v>
      </c>
      <c r="AJ4" s="3" t="s">
        <v>18</v>
      </c>
      <c r="AK4">
        <v>-2.7540900000000001</v>
      </c>
      <c r="AL4">
        <v>1.762E-2</v>
      </c>
      <c r="AM4">
        <v>0.13592000000000001</v>
      </c>
      <c r="AP4" s="74" t="s">
        <v>22</v>
      </c>
      <c r="AQ4" s="75">
        <v>1.7353328571428599</v>
      </c>
      <c r="AR4" s="76">
        <v>0.436857172911021</v>
      </c>
      <c r="AS4" s="76">
        <v>-0.673492857142857</v>
      </c>
      <c r="AT4" s="76">
        <v>0.95056242901618104</v>
      </c>
      <c r="AU4" s="76">
        <v>-0.55797857142857099</v>
      </c>
      <c r="AV4" s="76">
        <v>0.85906519778630197</v>
      </c>
      <c r="AW4" s="77">
        <v>7</v>
      </c>
    </row>
    <row r="5" spans="1:49" x14ac:dyDescent="0.15">
      <c r="A5" t="s">
        <v>17</v>
      </c>
      <c r="B5" s="3" t="s">
        <v>18</v>
      </c>
      <c r="C5" s="44">
        <v>0.22159999999999999</v>
      </c>
      <c r="D5" s="44">
        <v>0.4395</v>
      </c>
      <c r="E5" s="44">
        <v>0.3513</v>
      </c>
      <c r="F5" s="44">
        <v>0.39169999999999999</v>
      </c>
      <c r="G5" s="44">
        <v>1.4040999999999999</v>
      </c>
      <c r="H5" s="44">
        <v>0.15782351684352999</v>
      </c>
      <c r="I5" s="44">
        <v>0.47083541058329198</v>
      </c>
      <c r="J5" s="44">
        <v>0.25019585499608299</v>
      </c>
      <c r="K5" s="44">
        <v>0.27896873442062498</v>
      </c>
      <c r="L5" s="58">
        <v>0.33149388325625101</v>
      </c>
      <c r="M5" s="58">
        <v>1.36975331953757E-2</v>
      </c>
      <c r="N5" s="65">
        <v>0.13</v>
      </c>
      <c r="O5" s="65">
        <v>35.894500000000001</v>
      </c>
      <c r="P5" s="65">
        <v>191.16621166453899</v>
      </c>
      <c r="Q5" s="65">
        <v>0.47083541058329198</v>
      </c>
      <c r="S5" s="3" t="s">
        <v>18</v>
      </c>
      <c r="T5">
        <v>0.35852687562487001</v>
      </c>
      <c r="U5">
        <v>0.33149388299999999</v>
      </c>
      <c r="V5">
        <v>-1.56968564978444</v>
      </c>
      <c r="W5">
        <v>0.13</v>
      </c>
      <c r="X5">
        <v>35.894500000000001</v>
      </c>
      <c r="Y5">
        <v>191.1662</v>
      </c>
      <c r="Z5">
        <v>0.4708</v>
      </c>
      <c r="AB5" t="s">
        <v>57</v>
      </c>
      <c r="AC5">
        <v>6</v>
      </c>
      <c r="AD5">
        <v>173.54</v>
      </c>
      <c r="AE5">
        <v>28.923999999999999</v>
      </c>
      <c r="AF5">
        <v>7.4775999999999998</v>
      </c>
      <c r="AG5">
        <v>1E-4</v>
      </c>
      <c r="AH5">
        <v>9916</v>
      </c>
      <c r="AJ5" s="3" t="s">
        <v>18</v>
      </c>
      <c r="AK5">
        <v>-4.0084499999999998</v>
      </c>
      <c r="AL5">
        <v>-7.2609999999999994E-2</v>
      </c>
      <c r="AM5">
        <v>-0.77480000000000004</v>
      </c>
      <c r="AP5" s="74" t="s">
        <v>21</v>
      </c>
      <c r="AQ5" s="75">
        <v>0.59349428571428597</v>
      </c>
      <c r="AR5" s="76">
        <v>0.54188980549115195</v>
      </c>
      <c r="AS5" s="76">
        <v>-0.60989285714285701</v>
      </c>
      <c r="AT5" s="76">
        <v>0.53701272997680705</v>
      </c>
      <c r="AU5" s="76">
        <v>0.99401142857142899</v>
      </c>
      <c r="AV5" s="76">
        <v>0.631643703349406</v>
      </c>
      <c r="AW5" s="77">
        <v>7</v>
      </c>
    </row>
    <row r="6" spans="1:49" x14ac:dyDescent="0.15">
      <c r="A6" t="s">
        <v>17</v>
      </c>
      <c r="B6" s="3" t="s">
        <v>18</v>
      </c>
      <c r="C6" s="44">
        <v>8.1299999999999997E-2</v>
      </c>
      <c r="D6" s="44">
        <v>0.50619999999999998</v>
      </c>
      <c r="E6" s="44">
        <v>0.1691</v>
      </c>
      <c r="F6" s="44">
        <v>0.2</v>
      </c>
      <c r="G6" s="44">
        <v>0.95660000000000001</v>
      </c>
      <c r="H6" s="44">
        <v>8.4988500940832101E-2</v>
      </c>
      <c r="I6" s="44">
        <v>0.61415429646665298</v>
      </c>
      <c r="J6" s="44">
        <v>0.17677190048086999</v>
      </c>
      <c r="K6" s="44">
        <v>0.209073803052478</v>
      </c>
      <c r="L6" s="58">
        <v>0.356920581124958</v>
      </c>
      <c r="M6" s="58">
        <v>1.24967427329697E-2</v>
      </c>
      <c r="N6" s="65">
        <v>9.5000000000000001E-2</v>
      </c>
      <c r="O6" s="65">
        <v>17.475000000000001</v>
      </c>
      <c r="P6" s="65">
        <v>226.09505734247699</v>
      </c>
      <c r="Q6" s="65">
        <v>0.61415429646665298</v>
      </c>
      <c r="S6" s="3" t="s">
        <v>18</v>
      </c>
      <c r="T6">
        <v>-4.0512393080096597E-2</v>
      </c>
      <c r="U6">
        <v>0.35692058100000001</v>
      </c>
      <c r="V6">
        <v>-1.57693358912059</v>
      </c>
      <c r="W6">
        <v>9.5000000000000001E-2</v>
      </c>
      <c r="X6">
        <v>17.475000000000001</v>
      </c>
      <c r="Y6">
        <v>226.0951</v>
      </c>
      <c r="Z6">
        <v>0.61419999999999997</v>
      </c>
      <c r="AB6" t="s">
        <v>58</v>
      </c>
      <c r="AC6">
        <v>42</v>
      </c>
      <c r="AD6">
        <v>162.46</v>
      </c>
      <c r="AE6">
        <v>3.8679999999999999</v>
      </c>
      <c r="AF6" t="s">
        <v>47</v>
      </c>
      <c r="AG6" t="s">
        <v>48</v>
      </c>
      <c r="AH6" t="s">
        <v>46</v>
      </c>
      <c r="AJ6" s="3" t="s">
        <v>18</v>
      </c>
      <c r="AK6">
        <v>-4.6865500000000004</v>
      </c>
      <c r="AL6">
        <v>-1.15479</v>
      </c>
      <c r="AM6">
        <v>-8.72E-2</v>
      </c>
      <c r="AP6" s="74" t="s">
        <v>23</v>
      </c>
      <c r="AQ6" s="75">
        <v>1.97905714285714</v>
      </c>
      <c r="AR6" s="76">
        <v>0.85512442540475297</v>
      </c>
      <c r="AS6" s="76">
        <v>-0.69633999999999996</v>
      </c>
      <c r="AT6" s="76">
        <v>1.23613488085511</v>
      </c>
      <c r="AU6" s="76">
        <v>0.16937571428571399</v>
      </c>
      <c r="AV6" s="76">
        <v>0.77492856575852898</v>
      </c>
      <c r="AW6" s="77">
        <v>7</v>
      </c>
    </row>
    <row r="7" spans="1:49" x14ac:dyDescent="0.15">
      <c r="A7" t="s">
        <v>17</v>
      </c>
      <c r="B7" s="3" t="s">
        <v>18</v>
      </c>
      <c r="C7" s="44">
        <v>1.5075000000000001</v>
      </c>
      <c r="D7" s="44">
        <v>7.6087999999999996</v>
      </c>
      <c r="E7" s="44">
        <v>1.9957</v>
      </c>
      <c r="F7" s="44">
        <v>3.1025</v>
      </c>
      <c r="G7" s="44">
        <v>14.214499999999999</v>
      </c>
      <c r="H7" s="44">
        <v>0.10605367758275</v>
      </c>
      <c r="I7" s="44">
        <v>0.64133807028034795</v>
      </c>
      <c r="J7" s="44">
        <v>0.140398888458968</v>
      </c>
      <c r="K7" s="44">
        <v>0.21826304126068499</v>
      </c>
      <c r="L7" s="58">
        <v>0.37858283847693103</v>
      </c>
      <c r="M7" s="58">
        <v>1.8787172433618601E-2</v>
      </c>
      <c r="N7" s="65">
        <v>0.17499999999999999</v>
      </c>
      <c r="O7" s="65">
        <v>110.66249999999999</v>
      </c>
      <c r="P7" s="65">
        <v>128.096567418208</v>
      </c>
      <c r="Q7" s="65">
        <v>0.64133807028034795</v>
      </c>
      <c r="S7" s="3" t="s">
        <v>18</v>
      </c>
      <c r="T7">
        <v>4.5368227607490201</v>
      </c>
      <c r="U7">
        <v>0.37858283799999998</v>
      </c>
      <c r="V7">
        <v>-1.5415251015106901</v>
      </c>
      <c r="W7">
        <v>0.17499999999999999</v>
      </c>
      <c r="X7">
        <v>110.66249999999999</v>
      </c>
      <c r="Y7">
        <v>128.0966</v>
      </c>
      <c r="Z7">
        <v>0.64129999999999998</v>
      </c>
      <c r="AB7" t="s">
        <v>59</v>
      </c>
      <c r="AC7">
        <v>48</v>
      </c>
      <c r="AD7">
        <v>336</v>
      </c>
      <c r="AE7" t="s">
        <v>46</v>
      </c>
      <c r="AF7" t="s">
        <v>47</v>
      </c>
      <c r="AG7" t="s">
        <v>48</v>
      </c>
      <c r="AJ7" s="3" t="s">
        <v>18</v>
      </c>
      <c r="AK7">
        <v>-0.83645000000000003</v>
      </c>
      <c r="AL7">
        <v>0.25692999999999999</v>
      </c>
      <c r="AM7">
        <v>0.96945999999999999</v>
      </c>
      <c r="AP7" s="74" t="s">
        <v>19</v>
      </c>
      <c r="AQ7" s="75">
        <v>-2.0486185714285701</v>
      </c>
      <c r="AR7" s="76">
        <v>0.87951258172597302</v>
      </c>
      <c r="AS7" s="76">
        <v>0.25253428571428599</v>
      </c>
      <c r="AT7" s="76">
        <v>0.79524163470099096</v>
      </c>
      <c r="AU7" s="76">
        <v>-4.0137142857142899E-2</v>
      </c>
      <c r="AV7" s="76">
        <v>0.76946725563241203</v>
      </c>
      <c r="AW7" s="77">
        <v>7</v>
      </c>
    </row>
    <row r="8" spans="1:49" x14ac:dyDescent="0.15">
      <c r="A8" t="s">
        <v>17</v>
      </c>
      <c r="B8" s="3" t="s">
        <v>18</v>
      </c>
      <c r="C8" s="44">
        <v>2.1046</v>
      </c>
      <c r="D8" s="44">
        <v>7.9565999999999999</v>
      </c>
      <c r="E8" s="44">
        <v>5.3136999999999999</v>
      </c>
      <c r="F8" s="44">
        <v>7.6456999999999997</v>
      </c>
      <c r="G8" s="44">
        <v>23.020600000000002</v>
      </c>
      <c r="H8" s="44">
        <v>9.1422465096478805E-2</v>
      </c>
      <c r="I8" s="44">
        <v>0.43705203165860101</v>
      </c>
      <c r="J8" s="44">
        <v>0.23082369703656699</v>
      </c>
      <c r="K8" s="44">
        <v>0.33212427130483102</v>
      </c>
      <c r="L8" s="58">
        <v>0.41679407407226199</v>
      </c>
      <c r="M8" s="58">
        <v>2.90524527500742E-2</v>
      </c>
      <c r="N8" s="65">
        <v>0.16500000000000001</v>
      </c>
      <c r="O8" s="65">
        <v>152.5575</v>
      </c>
      <c r="P8" s="65">
        <v>104.53888062511901</v>
      </c>
      <c r="Q8" s="65">
        <v>0.43705203165860101</v>
      </c>
      <c r="S8" s="3" t="s">
        <v>18</v>
      </c>
      <c r="T8">
        <v>5.9610690098168204</v>
      </c>
      <c r="U8">
        <v>0.41679407400000001</v>
      </c>
      <c r="V8">
        <v>-1.4930453693363399</v>
      </c>
      <c r="W8">
        <v>0.16500000000000001</v>
      </c>
      <c r="X8">
        <v>152.5575</v>
      </c>
      <c r="Y8">
        <v>104.5389</v>
      </c>
      <c r="Z8">
        <v>0.43709999999999999</v>
      </c>
      <c r="AJ8" s="3" t="s">
        <v>18</v>
      </c>
      <c r="AK8">
        <v>0.67678000000000005</v>
      </c>
      <c r="AL8">
        <v>2.52624</v>
      </c>
      <c r="AM8">
        <v>-0.14182</v>
      </c>
      <c r="AP8" s="74" t="s">
        <v>18</v>
      </c>
      <c r="AQ8" s="75">
        <v>-2.1112371428571399</v>
      </c>
      <c r="AR8" s="76">
        <v>1.9069407400398699</v>
      </c>
      <c r="AS8" s="76">
        <v>0.53717571428571398</v>
      </c>
      <c r="AT8" s="76">
        <v>1.1664649515360099</v>
      </c>
      <c r="AU8" s="76">
        <v>0.588205714285714</v>
      </c>
      <c r="AV8" s="76">
        <v>1.11347528496531</v>
      </c>
      <c r="AW8" s="77">
        <v>7</v>
      </c>
    </row>
    <row r="9" spans="1:49" x14ac:dyDescent="0.15">
      <c r="A9" t="s">
        <v>17</v>
      </c>
      <c r="B9" s="3" t="s">
        <v>19</v>
      </c>
      <c r="C9" s="44">
        <v>1.3169</v>
      </c>
      <c r="D9" s="44">
        <v>2.8904000000000001</v>
      </c>
      <c r="E9" s="44">
        <v>0.60399999999999998</v>
      </c>
      <c r="F9" s="44">
        <v>2.3380000000000001</v>
      </c>
      <c r="G9" s="44">
        <v>7.1493000000000002</v>
      </c>
      <c r="H9" s="44">
        <v>0.18419985173373599</v>
      </c>
      <c r="I9" s="44">
        <v>0.58849118095477904</v>
      </c>
      <c r="J9" s="44">
        <v>8.4483795616353996E-2</v>
      </c>
      <c r="K9" s="44">
        <v>0.32702502342886702</v>
      </c>
      <c r="L9" s="58">
        <v>0.38565085062815002</v>
      </c>
      <c r="M9" s="58">
        <v>1.3183065777931499E-2</v>
      </c>
      <c r="N9" s="65">
        <v>0.17499999999999999</v>
      </c>
      <c r="O9" s="65">
        <v>66.360500000000002</v>
      </c>
      <c r="P9" s="65">
        <v>120.785210754514</v>
      </c>
      <c r="Q9" s="65">
        <v>0.58849118095477904</v>
      </c>
      <c r="S9" s="3" t="s">
        <v>19</v>
      </c>
      <c r="T9">
        <v>2.9045453676304098</v>
      </c>
      <c r="U9">
        <v>0.38565085100000002</v>
      </c>
      <c r="V9">
        <v>-1.57275731606294</v>
      </c>
      <c r="W9">
        <v>0.17499999999999999</v>
      </c>
      <c r="X9">
        <v>66.360500000000002</v>
      </c>
      <c r="Y9">
        <v>120.7852</v>
      </c>
      <c r="Z9">
        <v>0.58850000000000002</v>
      </c>
      <c r="AB9" t="s">
        <v>93</v>
      </c>
      <c r="AJ9" s="3" t="s">
        <v>19</v>
      </c>
      <c r="AK9">
        <v>-1.71637</v>
      </c>
      <c r="AL9">
        <v>-0.74751999999999996</v>
      </c>
      <c r="AM9">
        <v>-0.31174000000000002</v>
      </c>
      <c r="AP9" s="74" t="s">
        <v>20</v>
      </c>
      <c r="AQ9" s="78">
        <v>-3.1098571428571399E-2</v>
      </c>
      <c r="AR9" s="79">
        <v>0.67219940787508803</v>
      </c>
      <c r="AS9" s="79">
        <v>0.74753714285714301</v>
      </c>
      <c r="AT9" s="79">
        <v>0.75998146163167002</v>
      </c>
      <c r="AU9" s="79">
        <v>-0.52337999999999996</v>
      </c>
      <c r="AV9" s="79">
        <v>0.94470587863807298</v>
      </c>
      <c r="AW9" s="80">
        <v>7</v>
      </c>
    </row>
    <row r="10" spans="1:49" x14ac:dyDescent="0.15">
      <c r="A10" t="s">
        <v>17</v>
      </c>
      <c r="B10" s="3" t="s">
        <v>19</v>
      </c>
      <c r="C10" s="44">
        <v>0.35</v>
      </c>
      <c r="D10" s="44">
        <v>3.5407000000000002</v>
      </c>
      <c r="E10" s="44">
        <v>1.0804</v>
      </c>
      <c r="F10" s="44">
        <v>2.8279999999999998</v>
      </c>
      <c r="G10" s="44">
        <v>7.7991000000000001</v>
      </c>
      <c r="H10" s="44">
        <v>4.4876972984062298E-2</v>
      </c>
      <c r="I10" s="44">
        <v>0.49886525368311702</v>
      </c>
      <c r="J10" s="44">
        <v>0.13852880460566</v>
      </c>
      <c r="K10" s="44">
        <v>0.36260594171122301</v>
      </c>
      <c r="L10" s="58">
        <v>0.37321961013619198</v>
      </c>
      <c r="M10" s="58">
        <v>1.68613816058805E-2</v>
      </c>
      <c r="N10" s="65">
        <v>0.125</v>
      </c>
      <c r="O10" s="65">
        <v>61.179000000000002</v>
      </c>
      <c r="P10" s="65">
        <v>165.89467351206801</v>
      </c>
      <c r="Q10" s="65">
        <v>0.49886525368311702</v>
      </c>
      <c r="S10" s="3" t="s">
        <v>19</v>
      </c>
      <c r="T10">
        <v>3.0889212173796601</v>
      </c>
      <c r="U10">
        <v>0.37321960999999998</v>
      </c>
      <c r="V10">
        <v>-1.5517556788009099</v>
      </c>
      <c r="W10">
        <v>0.125</v>
      </c>
      <c r="X10">
        <v>61.179000000000002</v>
      </c>
      <c r="Y10">
        <v>165.8947</v>
      </c>
      <c r="Z10">
        <v>0.49890000000000001</v>
      </c>
      <c r="AJ10" s="3" t="s">
        <v>19</v>
      </c>
      <c r="AK10">
        <v>-2.49356</v>
      </c>
      <c r="AL10">
        <v>0.19571</v>
      </c>
      <c r="AM10">
        <v>-0.49836999999999998</v>
      </c>
      <c r="AP10" s="81" t="s">
        <v>60</v>
      </c>
      <c r="AQ10" s="82">
        <v>-2.0408163276769E-7</v>
      </c>
      <c r="AR10" s="83">
        <v>1.8310436819037199</v>
      </c>
      <c r="AS10" s="83">
        <v>-2.0408163260908001E-7</v>
      </c>
      <c r="AT10" s="83">
        <v>1.0971697065071799</v>
      </c>
      <c r="AU10" s="83">
        <v>6.1224489794960002E-7</v>
      </c>
      <c r="AV10" s="83">
        <v>1.04224231340895</v>
      </c>
      <c r="AW10" s="84">
        <v>49</v>
      </c>
    </row>
    <row r="11" spans="1:49" x14ac:dyDescent="0.15">
      <c r="A11" t="s">
        <v>17</v>
      </c>
      <c r="B11" s="3" t="s">
        <v>19</v>
      </c>
      <c r="C11" s="44">
        <v>0.41339999999999999</v>
      </c>
      <c r="D11" s="44">
        <v>2.9676</v>
      </c>
      <c r="E11" s="44">
        <v>0.84909999999999997</v>
      </c>
      <c r="F11" s="44">
        <v>2.2284000000000002</v>
      </c>
      <c r="G11" s="44">
        <v>6.4584999999999999</v>
      </c>
      <c r="H11" s="44">
        <v>6.4008670743980797E-2</v>
      </c>
      <c r="I11" s="44">
        <v>0.52349616784082997</v>
      </c>
      <c r="J11" s="44">
        <v>0.131470155608887</v>
      </c>
      <c r="K11" s="44">
        <v>0.345033676550283</v>
      </c>
      <c r="L11" s="58">
        <v>0.38543550898373102</v>
      </c>
      <c r="M11" s="58">
        <v>1.37825375466818E-2</v>
      </c>
      <c r="N11" s="65">
        <v>0.14499999999999999</v>
      </c>
      <c r="O11" s="65">
        <v>65.3125</v>
      </c>
      <c r="P11" s="65">
        <v>136.74268265417601</v>
      </c>
      <c r="Q11" s="65">
        <v>0.52349616784082997</v>
      </c>
      <c r="S11" s="3" t="s">
        <v>19</v>
      </c>
      <c r="T11">
        <v>2.6969383303289098</v>
      </c>
      <c r="U11">
        <v>0.38543550900000001</v>
      </c>
      <c r="V11">
        <v>-1.5691827583765501</v>
      </c>
      <c r="W11">
        <v>0.14499999999999999</v>
      </c>
      <c r="X11">
        <v>65.3125</v>
      </c>
      <c r="Y11">
        <v>136.74270000000001</v>
      </c>
      <c r="Z11">
        <v>0.52349999999999997</v>
      </c>
      <c r="AJ11" s="3" t="s">
        <v>19</v>
      </c>
      <c r="AK11">
        <v>-2.1923499999999998</v>
      </c>
      <c r="AL11">
        <v>-0.24582999999999999</v>
      </c>
      <c r="AM11">
        <v>-0.71087999999999996</v>
      </c>
    </row>
    <row r="12" spans="1:49" x14ac:dyDescent="0.15">
      <c r="A12" t="s">
        <v>17</v>
      </c>
      <c r="B12" s="3" t="s">
        <v>19</v>
      </c>
      <c r="C12" s="44">
        <v>0.25090000000000001</v>
      </c>
      <c r="D12" s="44">
        <v>4.7423000000000002</v>
      </c>
      <c r="E12" s="44">
        <v>0.74829999999999997</v>
      </c>
      <c r="F12" s="44">
        <v>2.4599000000000002</v>
      </c>
      <c r="G12" s="44">
        <v>8.2013999999999996</v>
      </c>
      <c r="H12" s="44">
        <v>3.05923378935304E-2</v>
      </c>
      <c r="I12" s="44">
        <v>0.60882288389787098</v>
      </c>
      <c r="J12" s="44">
        <v>9.1240519911234705E-2</v>
      </c>
      <c r="K12" s="44">
        <v>0.29993659619089402</v>
      </c>
      <c r="L12" s="58">
        <v>0.39708419516838001</v>
      </c>
      <c r="M12" s="58">
        <v>1.3782875466212201E-2</v>
      </c>
      <c r="N12" s="65">
        <v>0.14000000000000001</v>
      </c>
      <c r="O12" s="65">
        <v>75.502499999999998</v>
      </c>
      <c r="P12" s="65">
        <v>147.27794315955501</v>
      </c>
      <c r="Q12" s="65">
        <v>0.60882288389787098</v>
      </c>
      <c r="S12" s="3" t="s">
        <v>19</v>
      </c>
      <c r="T12">
        <v>3.1976357784712199</v>
      </c>
      <c r="U12">
        <v>0.39708419499999997</v>
      </c>
      <c r="V12">
        <v>-1.5691807672407101</v>
      </c>
      <c r="W12">
        <v>0.14000000000000001</v>
      </c>
      <c r="X12">
        <v>75.502499999999998</v>
      </c>
      <c r="Y12">
        <v>147.27789999999999</v>
      </c>
      <c r="Z12">
        <v>0.60880000000000001</v>
      </c>
      <c r="AJ12" s="3" t="s">
        <v>19</v>
      </c>
      <c r="AK12">
        <v>-2.0558900000000002</v>
      </c>
      <c r="AL12">
        <v>-0.46954000000000001</v>
      </c>
      <c r="AM12">
        <v>-2.5569999999999999E-2</v>
      </c>
    </row>
    <row r="13" spans="1:49" x14ac:dyDescent="0.15">
      <c r="A13" t="s">
        <v>17</v>
      </c>
      <c r="B13" s="3" t="s">
        <v>19</v>
      </c>
      <c r="C13" s="44">
        <v>0.3266</v>
      </c>
      <c r="D13" s="44">
        <v>4.1063999999999998</v>
      </c>
      <c r="E13" s="44">
        <v>1.4467000000000001</v>
      </c>
      <c r="F13" s="44">
        <v>4.3144</v>
      </c>
      <c r="G13" s="44">
        <v>10.194100000000001</v>
      </c>
      <c r="H13" s="44">
        <v>3.2038139708262602E-2</v>
      </c>
      <c r="I13" s="44">
        <v>0.43485937944497299</v>
      </c>
      <c r="J13" s="44">
        <v>0.141915421665473</v>
      </c>
      <c r="K13" s="44">
        <v>0.42322519888955401</v>
      </c>
      <c r="L13" s="58">
        <v>0.38899395532021802</v>
      </c>
      <c r="M13" s="58">
        <v>1.7192686114596501E-2</v>
      </c>
      <c r="N13" s="65">
        <v>0.13</v>
      </c>
      <c r="O13" s="65">
        <v>99.505499999999998</v>
      </c>
      <c r="P13" s="65">
        <v>160.14623530258001</v>
      </c>
      <c r="Q13" s="65">
        <v>0.43485937944497299</v>
      </c>
      <c r="S13" s="3" t="s">
        <v>19</v>
      </c>
      <c r="T13">
        <v>3.6942520637765601</v>
      </c>
      <c r="U13">
        <v>0.388993955</v>
      </c>
      <c r="V13">
        <v>-1.5499624421229601</v>
      </c>
      <c r="W13">
        <v>0.13</v>
      </c>
      <c r="X13">
        <v>99.505499999999998</v>
      </c>
      <c r="Y13">
        <v>160.14619999999999</v>
      </c>
      <c r="Z13">
        <v>0.43490000000000001</v>
      </c>
      <c r="AJ13" s="3" t="s">
        <v>19</v>
      </c>
      <c r="AK13">
        <v>-1.96316</v>
      </c>
      <c r="AL13">
        <v>1.3113900000000001</v>
      </c>
      <c r="AM13">
        <v>-0.75319999999999998</v>
      </c>
      <c r="AQ13" t="s">
        <v>38</v>
      </c>
      <c r="AR13" t="s">
        <v>71</v>
      </c>
      <c r="AS13" t="s">
        <v>39</v>
      </c>
      <c r="AT13" t="s">
        <v>72</v>
      </c>
      <c r="AU13" t="s">
        <v>96</v>
      </c>
      <c r="AV13" t="s">
        <v>102</v>
      </c>
    </row>
    <row r="14" spans="1:49" x14ac:dyDescent="0.15">
      <c r="A14" t="s">
        <v>17</v>
      </c>
      <c r="B14" s="3" t="s">
        <v>19</v>
      </c>
      <c r="C14" s="44">
        <v>2.5539000000000001</v>
      </c>
      <c r="D14" s="44">
        <v>3.2688999999999999</v>
      </c>
      <c r="E14" s="44">
        <v>1.4762999999999999</v>
      </c>
      <c r="F14" s="44">
        <v>3.0722</v>
      </c>
      <c r="G14" s="44">
        <v>10.3713</v>
      </c>
      <c r="H14" s="44">
        <v>0.246246854299847</v>
      </c>
      <c r="I14" s="44">
        <v>0.56143395717026801</v>
      </c>
      <c r="J14" s="44">
        <v>0.14234473981082399</v>
      </c>
      <c r="K14" s="44">
        <v>0.29622130301890798</v>
      </c>
      <c r="L14" s="58">
        <v>0.29364693813005199</v>
      </c>
      <c r="M14" s="58">
        <v>1.9758262722297901E-2</v>
      </c>
      <c r="N14" s="65">
        <v>0.125</v>
      </c>
      <c r="O14" s="65">
        <v>61.332999999999998</v>
      </c>
      <c r="P14" s="65">
        <v>229.460676353433</v>
      </c>
      <c r="Q14" s="65">
        <v>0.56143395717026801</v>
      </c>
      <c r="S14" s="3" t="s">
        <v>19</v>
      </c>
      <c r="T14">
        <v>3.7360570457983902</v>
      </c>
      <c r="U14">
        <v>0.29364693800000002</v>
      </c>
      <c r="V14">
        <v>-1.5365318257823299</v>
      </c>
      <c r="W14">
        <v>0.125</v>
      </c>
      <c r="X14">
        <v>61.332999999999998</v>
      </c>
      <c r="Y14">
        <v>229.4607</v>
      </c>
      <c r="Z14">
        <v>0.56140000000000001</v>
      </c>
      <c r="AJ14" s="3" t="s">
        <v>19</v>
      </c>
      <c r="AK14">
        <v>-3.4239099999999998</v>
      </c>
      <c r="AL14">
        <v>0.58082</v>
      </c>
      <c r="AM14">
        <v>1.24082</v>
      </c>
      <c r="AP14" s="36" t="s">
        <v>24</v>
      </c>
      <c r="AQ14" s="37">
        <f t="shared" ref="AQ14:AQ20" si="0">AQ3</f>
        <v>-0.11693142857142901</v>
      </c>
      <c r="AR14">
        <f t="shared" ref="AR14:AR20" si="1">AR3/SQRT(AW3)</f>
        <v>0.55252150247935083</v>
      </c>
      <c r="AS14" s="38">
        <f t="shared" ref="AS14:AS20" si="2">AS3</f>
        <v>0.44247714285714301</v>
      </c>
      <c r="AT14">
        <f t="shared" ref="AT14:AT20" si="3">AT3/SQRT(AW3)</f>
        <v>0.46588949221950055</v>
      </c>
      <c r="AU14" s="38">
        <f t="shared" ref="AU14:AU20" si="4">AU3</f>
        <v>-0.63009285714285701</v>
      </c>
      <c r="AV14">
        <f t="shared" ref="AV14:AV20" si="5">AV3/SQRT(AW3)</f>
        <v>0.46145157277110183</v>
      </c>
    </row>
    <row r="15" spans="1:49" x14ac:dyDescent="0.15">
      <c r="A15" t="s">
        <v>17</v>
      </c>
      <c r="B15" s="3" t="s">
        <v>19</v>
      </c>
      <c r="C15" s="44">
        <v>2.5487000000000002</v>
      </c>
      <c r="D15" s="44">
        <v>11.384499999999999</v>
      </c>
      <c r="E15" s="44">
        <v>3.5960000000000001</v>
      </c>
      <c r="F15" s="44">
        <v>7.2695999999999996</v>
      </c>
      <c r="G15" s="44">
        <v>24.7988</v>
      </c>
      <c r="H15" s="44">
        <v>0.102775134280691</v>
      </c>
      <c r="I15" s="44">
        <v>0.56184976692420596</v>
      </c>
      <c r="J15" s="44">
        <v>0.145007016468539</v>
      </c>
      <c r="K15" s="44">
        <v>0.29314321660725501</v>
      </c>
      <c r="L15" s="58">
        <v>0.37742157085580802</v>
      </c>
      <c r="M15" s="58">
        <v>2.0681528708288301E-2</v>
      </c>
      <c r="N15" s="65">
        <v>0.16</v>
      </c>
      <c r="O15" s="65">
        <v>126.34099999999999</v>
      </c>
      <c r="P15" s="65">
        <v>130.99551852789901</v>
      </c>
      <c r="Q15" s="65">
        <v>0.56184976692420596</v>
      </c>
      <c r="S15" s="3" t="s">
        <v>19</v>
      </c>
      <c r="T15">
        <v>6.2047336595967097</v>
      </c>
      <c r="U15">
        <v>0.37742157100000001</v>
      </c>
      <c r="V15">
        <v>-1.53187801613904</v>
      </c>
      <c r="W15">
        <v>0.16</v>
      </c>
      <c r="X15">
        <v>126.34099999999999</v>
      </c>
      <c r="Y15">
        <v>130.99549999999999</v>
      </c>
      <c r="Z15">
        <v>0.56179999999999997</v>
      </c>
      <c r="AJ15" s="3" t="s">
        <v>19</v>
      </c>
      <c r="AK15">
        <v>-0.49508999999999997</v>
      </c>
      <c r="AL15">
        <v>1.1427099999999999</v>
      </c>
      <c r="AM15">
        <v>0.77798</v>
      </c>
      <c r="AP15" s="39" t="s">
        <v>22</v>
      </c>
      <c r="AQ15" s="37">
        <f t="shared" si="0"/>
        <v>1.7353328571428599</v>
      </c>
      <c r="AR15">
        <f t="shared" si="1"/>
        <v>0.16511649113961491</v>
      </c>
      <c r="AS15" s="38">
        <f t="shared" si="2"/>
        <v>-0.673492857142857</v>
      </c>
      <c r="AT15">
        <f t="shared" si="3"/>
        <v>0.3592788275454718</v>
      </c>
      <c r="AU15" s="38">
        <f t="shared" si="4"/>
        <v>-0.55797857142857099</v>
      </c>
      <c r="AV15">
        <f t="shared" si="5"/>
        <v>0.32469612476186716</v>
      </c>
    </row>
    <row r="16" spans="1:49" x14ac:dyDescent="0.15">
      <c r="A16" t="s">
        <v>17</v>
      </c>
      <c r="B16" s="3" t="s">
        <v>20</v>
      </c>
      <c r="C16" s="44">
        <v>0.58950000000000002</v>
      </c>
      <c r="D16" s="44">
        <v>5.0347</v>
      </c>
      <c r="E16" s="44">
        <v>2.1084999999999998</v>
      </c>
      <c r="F16" s="44">
        <v>7.0336999999999996</v>
      </c>
      <c r="G16" s="44">
        <v>14.766400000000001</v>
      </c>
      <c r="H16" s="44">
        <v>3.9921714161880999E-2</v>
      </c>
      <c r="I16" s="44">
        <v>0.38087820999024802</v>
      </c>
      <c r="J16" s="44">
        <v>0.14279038899122301</v>
      </c>
      <c r="K16" s="44">
        <v>0.476331401018529</v>
      </c>
      <c r="L16" s="58">
        <v>0.48044479473588902</v>
      </c>
      <c r="M16" s="58">
        <v>1.8780527052052701E-2</v>
      </c>
      <c r="N16" s="65">
        <v>0.22500000000000001</v>
      </c>
      <c r="O16" s="65">
        <v>122.8775</v>
      </c>
      <c r="P16" s="65">
        <v>113.027242554635</v>
      </c>
      <c r="Q16" s="65">
        <v>0.38087820999024802</v>
      </c>
      <c r="S16" s="3" t="s">
        <v>20</v>
      </c>
      <c r="T16">
        <v>4.6417200904402396</v>
      </c>
      <c r="U16">
        <v>0.48044479499999998</v>
      </c>
      <c r="V16">
        <v>-1.5415596333842501</v>
      </c>
      <c r="W16">
        <v>0.22500000000000001</v>
      </c>
      <c r="X16">
        <v>122.8775</v>
      </c>
      <c r="Y16">
        <v>113.02719999999999</v>
      </c>
      <c r="Z16">
        <v>0.38090000000000002</v>
      </c>
      <c r="AJ16" s="3" t="s">
        <v>20</v>
      </c>
      <c r="AK16">
        <v>0.49508000000000002</v>
      </c>
      <c r="AL16">
        <v>1.60564</v>
      </c>
      <c r="AM16">
        <v>-1.97993</v>
      </c>
      <c r="AP16" s="39" t="s">
        <v>21</v>
      </c>
      <c r="AQ16" s="37">
        <f t="shared" si="0"/>
        <v>0.59349428571428597</v>
      </c>
      <c r="AR16">
        <f t="shared" si="1"/>
        <v>0.20481509476153589</v>
      </c>
      <c r="AS16" s="38">
        <f t="shared" si="2"/>
        <v>-0.60989285714285701</v>
      </c>
      <c r="AT16">
        <f t="shared" si="3"/>
        <v>0.20297173348493031</v>
      </c>
      <c r="AU16" s="38">
        <f t="shared" si="4"/>
        <v>0.99401142857142899</v>
      </c>
      <c r="AV16">
        <f t="shared" si="5"/>
        <v>0.23873887946605488</v>
      </c>
    </row>
    <row r="17" spans="1:52" x14ac:dyDescent="0.15">
      <c r="A17" t="s">
        <v>17</v>
      </c>
      <c r="B17" s="3" t="s">
        <v>20</v>
      </c>
      <c r="C17" s="44">
        <v>0.77329999999999999</v>
      </c>
      <c r="D17" s="44">
        <v>8.1286000000000005</v>
      </c>
      <c r="E17" s="44">
        <v>2.2462</v>
      </c>
      <c r="F17" s="44">
        <v>4.556</v>
      </c>
      <c r="G17" s="44">
        <v>15.7041</v>
      </c>
      <c r="H17" s="44">
        <v>4.9241917715755798E-2</v>
      </c>
      <c r="I17" s="44">
        <v>0.56685196859418896</v>
      </c>
      <c r="J17" s="44">
        <v>0.143032711202807</v>
      </c>
      <c r="K17" s="44">
        <v>0.29011532020300401</v>
      </c>
      <c r="L17" s="58">
        <v>0.43316850559042103</v>
      </c>
      <c r="M17" s="58">
        <v>1.5721924671835301E-2</v>
      </c>
      <c r="N17" s="65">
        <v>0.18</v>
      </c>
      <c r="O17" s="65">
        <v>116.9325</v>
      </c>
      <c r="P17" s="65">
        <v>134.012410425247</v>
      </c>
      <c r="Q17" s="65">
        <v>0.56685196859418896</v>
      </c>
      <c r="S17" s="3" t="s">
        <v>20</v>
      </c>
      <c r="T17">
        <v>4.8105534676865602</v>
      </c>
      <c r="U17">
        <v>0.43316850600000001</v>
      </c>
      <c r="V17">
        <v>-1.55803780526325</v>
      </c>
      <c r="W17">
        <v>0.18</v>
      </c>
      <c r="X17">
        <v>116.9325</v>
      </c>
      <c r="Y17">
        <v>134.01240000000001</v>
      </c>
      <c r="Z17">
        <v>0.56689999999999996</v>
      </c>
      <c r="AJ17" s="3" t="s">
        <v>20</v>
      </c>
      <c r="AK17">
        <v>-0.60948000000000002</v>
      </c>
      <c r="AL17">
        <v>0.54679999999999995</v>
      </c>
      <c r="AM17">
        <v>-0.18207999999999999</v>
      </c>
      <c r="AP17" s="39" t="s">
        <v>23</v>
      </c>
      <c r="AQ17" s="37">
        <f t="shared" si="0"/>
        <v>1.97905714285714</v>
      </c>
      <c r="AR17">
        <f t="shared" si="1"/>
        <v>0.32320665280542571</v>
      </c>
      <c r="AS17" s="38">
        <f t="shared" si="2"/>
        <v>-0.69633999999999996</v>
      </c>
      <c r="AT17">
        <f t="shared" si="3"/>
        <v>0.46721506881072555</v>
      </c>
      <c r="AU17" s="38">
        <f t="shared" si="4"/>
        <v>0.16937571428571399</v>
      </c>
      <c r="AV17">
        <f t="shared" si="5"/>
        <v>0.2928954669767187</v>
      </c>
    </row>
    <row r="18" spans="1:52" x14ac:dyDescent="0.15">
      <c r="A18" t="s">
        <v>17</v>
      </c>
      <c r="B18" s="3" t="s">
        <v>20</v>
      </c>
      <c r="C18" s="44">
        <v>0.52890000000000004</v>
      </c>
      <c r="D18" s="44">
        <v>6.0185000000000004</v>
      </c>
      <c r="E18" s="44">
        <v>2.2694000000000001</v>
      </c>
      <c r="F18" s="44">
        <v>5.7123999999999997</v>
      </c>
      <c r="G18" s="44">
        <v>14.529199999999999</v>
      </c>
      <c r="H18" s="44">
        <v>3.6402554855050499E-2</v>
      </c>
      <c r="I18" s="44">
        <v>0.45063733722434801</v>
      </c>
      <c r="J18" s="44">
        <v>0.15619579880516499</v>
      </c>
      <c r="K18" s="44">
        <v>0.393166863970487</v>
      </c>
      <c r="L18" s="58">
        <v>0.47400729678716602</v>
      </c>
      <c r="M18" s="58">
        <v>1.7397955478163401E-2</v>
      </c>
      <c r="N18" s="65">
        <v>0.22500000000000001</v>
      </c>
      <c r="O18" s="65">
        <v>107.61</v>
      </c>
      <c r="P18" s="65">
        <v>99.199703600094395</v>
      </c>
      <c r="Q18" s="65">
        <v>0.45063733722434801</v>
      </c>
      <c r="S18" s="3" t="s">
        <v>20</v>
      </c>
      <c r="T18">
        <v>4.5970746667359501</v>
      </c>
      <c r="U18">
        <v>0.47400729699999999</v>
      </c>
      <c r="V18">
        <v>-1.5488585753484201</v>
      </c>
      <c r="W18">
        <v>0.22500000000000001</v>
      </c>
      <c r="X18">
        <v>107.61</v>
      </c>
      <c r="Y18">
        <v>99.199700000000007</v>
      </c>
      <c r="Z18">
        <v>0.4506</v>
      </c>
      <c r="AJ18" s="3" t="s">
        <v>20</v>
      </c>
      <c r="AK18">
        <v>0.45177</v>
      </c>
      <c r="AL18">
        <v>0.74306000000000005</v>
      </c>
      <c r="AM18">
        <v>-1.6539299999999999</v>
      </c>
      <c r="AP18" s="39" t="s">
        <v>19</v>
      </c>
      <c r="AQ18" s="37">
        <f t="shared" si="0"/>
        <v>-2.0486185714285701</v>
      </c>
      <c r="AR18">
        <f t="shared" si="1"/>
        <v>0.33242450945704227</v>
      </c>
      <c r="AS18" s="38">
        <f t="shared" si="2"/>
        <v>0.25253428571428599</v>
      </c>
      <c r="AT18">
        <f t="shared" si="3"/>
        <v>0.30057308537475641</v>
      </c>
      <c r="AU18" s="38">
        <f t="shared" si="4"/>
        <v>-4.0137142857142899E-2</v>
      </c>
      <c r="AV18">
        <f t="shared" si="5"/>
        <v>0.29083128577296091</v>
      </c>
    </row>
    <row r="19" spans="1:52" x14ac:dyDescent="0.15">
      <c r="A19" t="s">
        <v>17</v>
      </c>
      <c r="B19" s="3" t="s">
        <v>20</v>
      </c>
      <c r="C19" s="44">
        <v>0.56720000000000004</v>
      </c>
      <c r="D19" s="44">
        <v>6.7725</v>
      </c>
      <c r="E19" s="44">
        <v>1.6052</v>
      </c>
      <c r="F19" s="44">
        <v>4.3978999999999999</v>
      </c>
      <c r="G19" s="44">
        <v>13.3428</v>
      </c>
      <c r="H19" s="44">
        <v>4.2509818029199301E-2</v>
      </c>
      <c r="I19" s="44">
        <v>0.55008693827382504</v>
      </c>
      <c r="J19" s="44">
        <v>0.120304583745541</v>
      </c>
      <c r="K19" s="44">
        <v>0.32960847798063397</v>
      </c>
      <c r="L19" s="58">
        <v>0.44864210393875698</v>
      </c>
      <c r="M19" s="58">
        <v>2.1719937505720599E-2</v>
      </c>
      <c r="N19" s="65">
        <v>0.21</v>
      </c>
      <c r="O19" s="65">
        <v>106.10299999999999</v>
      </c>
      <c r="P19" s="65">
        <v>115.254269038369</v>
      </c>
      <c r="Q19" s="65">
        <v>0.55008693827382504</v>
      </c>
      <c r="S19" s="3" t="s">
        <v>20</v>
      </c>
      <c r="T19">
        <v>4.3685898568947996</v>
      </c>
      <c r="U19">
        <v>0.44864210399999999</v>
      </c>
      <c r="V19">
        <v>-1.5267455749638901</v>
      </c>
      <c r="W19">
        <v>0.21</v>
      </c>
      <c r="X19">
        <v>106.10299999999999</v>
      </c>
      <c r="Y19">
        <v>115.2543</v>
      </c>
      <c r="Z19">
        <v>0.55010000000000003</v>
      </c>
      <c r="AJ19" s="3" t="s">
        <v>20</v>
      </c>
      <c r="AK19">
        <v>0.25023000000000001</v>
      </c>
      <c r="AL19">
        <v>0.54527999999999999</v>
      </c>
      <c r="AM19">
        <v>-0.43955</v>
      </c>
      <c r="AP19" s="39" t="s">
        <v>18</v>
      </c>
      <c r="AQ19" s="37">
        <f t="shared" si="0"/>
        <v>-2.1112371428571399</v>
      </c>
      <c r="AR19">
        <f t="shared" si="1"/>
        <v>0.72075585186899516</v>
      </c>
      <c r="AS19" s="38">
        <f t="shared" si="2"/>
        <v>0.53717571428571398</v>
      </c>
      <c r="AT19">
        <f t="shared" si="3"/>
        <v>0.44088231069104172</v>
      </c>
      <c r="AU19" s="38">
        <f t="shared" si="4"/>
        <v>0.588205714285714</v>
      </c>
      <c r="AV19">
        <f t="shared" si="5"/>
        <v>0.42085409929071249</v>
      </c>
    </row>
    <row r="20" spans="1:52" x14ac:dyDescent="0.15">
      <c r="A20" t="s">
        <v>17</v>
      </c>
      <c r="B20" s="3" t="s">
        <v>20</v>
      </c>
      <c r="C20" s="44">
        <v>1.5065</v>
      </c>
      <c r="D20" s="44">
        <v>12.579599999999999</v>
      </c>
      <c r="E20" s="44">
        <v>5.0979999999999999</v>
      </c>
      <c r="F20" s="44">
        <v>7.5698999999999996</v>
      </c>
      <c r="G20" s="44">
        <v>26.754000000000001</v>
      </c>
      <c r="H20" s="44">
        <v>5.6309336921581798E-2</v>
      </c>
      <c r="I20" s="44">
        <v>0.52650444793301898</v>
      </c>
      <c r="J20" s="44">
        <v>0.190550945652986</v>
      </c>
      <c r="K20" s="44">
        <v>0.28294460641399399</v>
      </c>
      <c r="L20" s="58">
        <v>0.39777978336924402</v>
      </c>
      <c r="M20" s="58">
        <v>2.58835691535674E-2</v>
      </c>
      <c r="N20" s="65">
        <v>0.20499999999999999</v>
      </c>
      <c r="O20" s="65">
        <v>137.1755</v>
      </c>
      <c r="P20" s="65">
        <v>130.95243077800799</v>
      </c>
      <c r="Q20" s="65">
        <v>0.52650444793301898</v>
      </c>
      <c r="S20" s="3" t="s">
        <v>20</v>
      </c>
      <c r="T20">
        <v>6.4594011140248302</v>
      </c>
      <c r="U20">
        <v>0.397779783</v>
      </c>
      <c r="V20">
        <v>-1.5071169471380199</v>
      </c>
      <c r="W20">
        <v>0.20499999999999999</v>
      </c>
      <c r="X20">
        <v>137.1755</v>
      </c>
      <c r="Y20">
        <v>130.95240000000001</v>
      </c>
      <c r="Z20">
        <v>0.52649999999999997</v>
      </c>
      <c r="AJ20" s="3" t="s">
        <v>20</v>
      </c>
      <c r="AK20">
        <v>0.48404999999999998</v>
      </c>
      <c r="AL20">
        <v>1.7338899999999999</v>
      </c>
      <c r="AM20">
        <v>0.60604000000000002</v>
      </c>
      <c r="AP20" s="39" t="s">
        <v>20</v>
      </c>
      <c r="AQ20" s="37">
        <f t="shared" si="0"/>
        <v>-3.1098571428571399E-2</v>
      </c>
      <c r="AR20">
        <f t="shared" si="1"/>
        <v>0.25406749495462222</v>
      </c>
      <c r="AS20" s="38">
        <f t="shared" si="2"/>
        <v>0.74753714285714301</v>
      </c>
      <c r="AT20">
        <f t="shared" si="3"/>
        <v>0.28724599264239636</v>
      </c>
      <c r="AU20" s="38">
        <f t="shared" si="4"/>
        <v>-0.52337999999999996</v>
      </c>
      <c r="AV20">
        <f t="shared" si="5"/>
        <v>0.35706525956815821</v>
      </c>
    </row>
    <row r="21" spans="1:52" x14ac:dyDescent="0.15">
      <c r="A21" t="s">
        <v>17</v>
      </c>
      <c r="B21" s="3" t="s">
        <v>20</v>
      </c>
      <c r="C21" s="44">
        <v>0.54559999999999997</v>
      </c>
      <c r="D21" s="44">
        <v>9.3515999999999995</v>
      </c>
      <c r="E21" s="44">
        <v>2.8330000000000002</v>
      </c>
      <c r="F21" s="44">
        <v>5.1580000000000004</v>
      </c>
      <c r="G21" s="44">
        <v>17.888200000000001</v>
      </c>
      <c r="H21" s="44">
        <v>3.0500553437461601E-2</v>
      </c>
      <c r="I21" s="44">
        <v>0.55328093379993504</v>
      </c>
      <c r="J21" s="44">
        <v>0.15837255844635001</v>
      </c>
      <c r="K21" s="44">
        <v>0.28834650775371501</v>
      </c>
      <c r="L21" s="58">
        <v>0.42882613234123002</v>
      </c>
      <c r="M21" s="58">
        <v>2.09979324328383E-2</v>
      </c>
      <c r="N21" s="65">
        <v>0.2</v>
      </c>
      <c r="O21" s="65">
        <v>104.8275</v>
      </c>
      <c r="P21" s="65">
        <v>129.21538070390099</v>
      </c>
      <c r="Q21" s="65">
        <v>0.55328093379993504</v>
      </c>
      <c r="S21" s="3" t="s">
        <v>20</v>
      </c>
      <c r="T21">
        <v>5.18478364822864</v>
      </c>
      <c r="U21">
        <v>0.42882613200000003</v>
      </c>
      <c r="V21">
        <v>-1.5303030700998801</v>
      </c>
      <c r="W21">
        <v>0.2</v>
      </c>
      <c r="X21">
        <v>104.8275</v>
      </c>
      <c r="Y21">
        <v>129.21539999999999</v>
      </c>
      <c r="Z21">
        <v>0.55330000000000001</v>
      </c>
      <c r="AJ21" s="3" t="s">
        <v>20</v>
      </c>
      <c r="AK21">
        <v>-2.4549999999999999E-2</v>
      </c>
      <c r="AL21">
        <v>0.59584000000000004</v>
      </c>
      <c r="AM21">
        <v>-0.11423</v>
      </c>
    </row>
    <row r="22" spans="1:52" x14ac:dyDescent="0.15">
      <c r="A22" t="s">
        <v>17</v>
      </c>
      <c r="B22" s="3" t="s">
        <v>20</v>
      </c>
      <c r="C22" s="44">
        <v>0.60570000000000002</v>
      </c>
      <c r="D22" s="44">
        <v>7.7419000000000002</v>
      </c>
      <c r="E22" s="44">
        <v>1.357</v>
      </c>
      <c r="F22" s="44">
        <v>3.5781000000000001</v>
      </c>
      <c r="G22" s="44">
        <v>13.2827</v>
      </c>
      <c r="H22" s="44">
        <v>4.5600668538776E-2</v>
      </c>
      <c r="I22" s="44">
        <v>0.62845656380103398</v>
      </c>
      <c r="J22" s="44">
        <v>0.10216296385524</v>
      </c>
      <c r="K22" s="44">
        <v>0.26938047234372497</v>
      </c>
      <c r="L22" s="58">
        <v>0.41130714868770402</v>
      </c>
      <c r="M22" s="58">
        <v>1.38607655745924E-2</v>
      </c>
      <c r="N22" s="65">
        <v>0.17499999999999999</v>
      </c>
      <c r="O22" s="65">
        <v>82.723500000000001</v>
      </c>
      <c r="P22" s="65">
        <v>140.37342943649099</v>
      </c>
      <c r="Q22" s="65">
        <v>0.62845656380103398</v>
      </c>
      <c r="S22" s="3" t="s">
        <v>20</v>
      </c>
      <c r="T22">
        <v>4.3567372575818997</v>
      </c>
      <c r="U22">
        <v>0.41130714899999998</v>
      </c>
      <c r="V22">
        <v>-1.5687210949631001</v>
      </c>
      <c r="W22">
        <v>0.17499999999999999</v>
      </c>
      <c r="X22">
        <v>82.723500000000001</v>
      </c>
      <c r="Y22">
        <v>140.3734</v>
      </c>
      <c r="Z22">
        <v>0.62849999999999995</v>
      </c>
      <c r="AJ22" s="3" t="s">
        <v>20</v>
      </c>
      <c r="AK22">
        <v>-1.2647900000000001</v>
      </c>
      <c r="AL22">
        <v>-0.53774999999999995</v>
      </c>
      <c r="AM22">
        <v>0.10002</v>
      </c>
    </row>
    <row r="23" spans="1:52" x14ac:dyDescent="0.15">
      <c r="A23" t="s">
        <v>17</v>
      </c>
      <c r="B23" s="3" t="s">
        <v>21</v>
      </c>
      <c r="C23" s="45">
        <v>1.0449999999999999</v>
      </c>
      <c r="D23" s="45">
        <v>21.3752</v>
      </c>
      <c r="E23" s="45">
        <v>5.7949000000000002</v>
      </c>
      <c r="F23" s="45">
        <v>8.3042999999999996</v>
      </c>
      <c r="G23" s="44">
        <v>36.519399999999997</v>
      </c>
      <c r="H23" s="44">
        <f t="shared" ref="H23:H29" si="6">C23/G23</f>
        <v>2.8614927956100045E-2</v>
      </c>
      <c r="I23" s="44">
        <f t="shared" ref="I23:I29" si="7">D23/G23</f>
        <v>0.5853108210978275</v>
      </c>
      <c r="J23" s="44">
        <f t="shared" ref="J23:J29" si="8">E23/G23</f>
        <v>0.15868004403139155</v>
      </c>
      <c r="K23" s="44">
        <f t="shared" ref="K23:K29" si="9">F23/G23</f>
        <v>0.22739420691468096</v>
      </c>
      <c r="L23" s="58">
        <v>0.39679792175747403</v>
      </c>
      <c r="M23" s="58">
        <v>2.9066370441273599E-2</v>
      </c>
      <c r="N23" s="65">
        <v>0.23</v>
      </c>
      <c r="O23" s="85">
        <v>75.822500000000005</v>
      </c>
      <c r="P23" s="85">
        <v>89.548220341672405</v>
      </c>
      <c r="Q23" s="85">
        <v>0.61392574905392805</v>
      </c>
      <c r="S23" s="3" t="s">
        <v>21</v>
      </c>
      <c r="T23">
        <v>7.5859782348035898</v>
      </c>
      <c r="U23">
        <v>0.39679792200000003</v>
      </c>
      <c r="V23">
        <v>-1.4929850162912399</v>
      </c>
      <c r="W23">
        <v>0.23</v>
      </c>
      <c r="X23">
        <v>75.822999999999993</v>
      </c>
      <c r="Y23">
        <v>89.548000000000002</v>
      </c>
      <c r="Z23">
        <v>0.61399999999999999</v>
      </c>
      <c r="AJ23" s="3" t="s">
        <v>21</v>
      </c>
      <c r="AK23">
        <v>1.32924</v>
      </c>
      <c r="AL23">
        <v>-0.23122999999999999</v>
      </c>
      <c r="AM23">
        <v>0.75183</v>
      </c>
      <c r="AQ23" t="s">
        <v>48</v>
      </c>
      <c r="AR23" t="s">
        <v>48</v>
      </c>
      <c r="AS23" t="s">
        <v>49</v>
      </c>
    </row>
    <row r="24" spans="1:52" x14ac:dyDescent="0.15">
      <c r="A24" t="s">
        <v>17</v>
      </c>
      <c r="B24" s="3" t="s">
        <v>21</v>
      </c>
      <c r="C24" s="45">
        <v>1.0939000000000001</v>
      </c>
      <c r="D24" s="45">
        <v>17.149699999999999</v>
      </c>
      <c r="E24" s="45">
        <v>2.2915999999999999</v>
      </c>
      <c r="F24" s="45">
        <v>4.2618999999999998</v>
      </c>
      <c r="G24" s="44">
        <v>24.7971</v>
      </c>
      <c r="H24" s="44">
        <f t="shared" si="6"/>
        <v>4.4114029463122706E-2</v>
      </c>
      <c r="I24" s="44">
        <f t="shared" si="7"/>
        <v>0.691601033991878</v>
      </c>
      <c r="J24" s="44">
        <f t="shared" si="8"/>
        <v>9.241403228603344E-2</v>
      </c>
      <c r="K24" s="44">
        <f t="shared" si="9"/>
        <v>0.17187090425896576</v>
      </c>
      <c r="L24" s="58">
        <v>0.34123651148592499</v>
      </c>
      <c r="M24" s="58">
        <v>2.3959827443987902E-2</v>
      </c>
      <c r="N24" s="65">
        <v>0.22</v>
      </c>
      <c r="O24" s="85">
        <v>50.969000000000001</v>
      </c>
      <c r="P24" s="85">
        <v>101.487992789825</v>
      </c>
      <c r="Q24" s="85">
        <v>0.73571506345500104</v>
      </c>
      <c r="S24" s="3" t="s">
        <v>21</v>
      </c>
      <c r="T24">
        <v>6.2047336595967097</v>
      </c>
      <c r="U24">
        <v>0.34123651100000002</v>
      </c>
      <c r="V24">
        <v>-1.5160094228888801</v>
      </c>
      <c r="W24">
        <v>0.22</v>
      </c>
      <c r="X24">
        <v>50.969000000000001</v>
      </c>
      <c r="Y24">
        <v>101.488</v>
      </c>
      <c r="Z24">
        <v>0.73599999999999999</v>
      </c>
      <c r="AJ24" s="3" t="s">
        <v>21</v>
      </c>
      <c r="AK24">
        <v>2.1770000000000001E-2</v>
      </c>
      <c r="AL24">
        <v>-1.4419500000000001</v>
      </c>
      <c r="AM24">
        <v>1.75865</v>
      </c>
      <c r="AP24" t="s">
        <v>61</v>
      </c>
      <c r="AQ24" t="s">
        <v>103</v>
      </c>
      <c r="AR24" t="s">
        <v>55</v>
      </c>
      <c r="AS24" t="s">
        <v>56</v>
      </c>
      <c r="AT24" s="34" t="s">
        <v>18</v>
      </c>
      <c r="AU24" s="34" t="s">
        <v>19</v>
      </c>
      <c r="AV24" s="34" t="s">
        <v>20</v>
      </c>
      <c r="AW24" s="34" t="s">
        <v>21</v>
      </c>
      <c r="AX24" s="34" t="s">
        <v>22</v>
      </c>
      <c r="AY24" s="34" t="s">
        <v>23</v>
      </c>
      <c r="AZ24" s="35" t="s">
        <v>24</v>
      </c>
    </row>
    <row r="25" spans="1:52" x14ac:dyDescent="0.15">
      <c r="A25" t="s">
        <v>17</v>
      </c>
      <c r="B25" s="3" t="s">
        <v>21</v>
      </c>
      <c r="C25" s="45">
        <v>2.4024999999999999</v>
      </c>
      <c r="D25" s="45">
        <v>16.246700000000001</v>
      </c>
      <c r="E25" s="45">
        <v>4.2031999999999998</v>
      </c>
      <c r="F25" s="45">
        <v>7.4694000000000003</v>
      </c>
      <c r="G25" s="44">
        <v>30.3218</v>
      </c>
      <c r="H25" s="44">
        <f t="shared" si="6"/>
        <v>7.9233422817906587E-2</v>
      </c>
      <c r="I25" s="44">
        <f t="shared" si="7"/>
        <v>0.53580921976927498</v>
      </c>
      <c r="J25" s="44">
        <f t="shared" si="8"/>
        <v>0.13861973893370447</v>
      </c>
      <c r="K25" s="44">
        <f t="shared" si="9"/>
        <v>0.24633761847911406</v>
      </c>
      <c r="L25" s="58">
        <v>0.37710278381420698</v>
      </c>
      <c r="M25" s="58">
        <v>3.18083010854181E-2</v>
      </c>
      <c r="N25" s="65">
        <v>0.22</v>
      </c>
      <c r="O25" s="85">
        <v>81.811000000000007</v>
      </c>
      <c r="P25" s="85">
        <v>100.28087603864</v>
      </c>
      <c r="Q25" s="85">
        <v>0.615042642587182</v>
      </c>
      <c r="S25" s="3" t="s">
        <v>21</v>
      </c>
      <c r="T25">
        <v>6.89703472613804</v>
      </c>
      <c r="U25">
        <v>0.37710278400000002</v>
      </c>
      <c r="V25">
        <v>-1.4813181511918601</v>
      </c>
      <c r="W25">
        <v>0.22</v>
      </c>
      <c r="X25">
        <v>81.811000000000007</v>
      </c>
      <c r="Y25">
        <v>100.28100000000001</v>
      </c>
      <c r="Z25">
        <v>0.61499999999999999</v>
      </c>
      <c r="AJ25" s="3" t="s">
        <v>21</v>
      </c>
      <c r="AK25">
        <v>1.0140899999999999</v>
      </c>
      <c r="AL25">
        <v>0.13800000000000001</v>
      </c>
      <c r="AM25">
        <v>1.0993999999999999</v>
      </c>
      <c r="AP25" t="s">
        <v>63</v>
      </c>
      <c r="AQ25">
        <v>0.72675000000000001</v>
      </c>
      <c r="AR25">
        <v>0.67620000000000002</v>
      </c>
      <c r="AS25">
        <v>1705</v>
      </c>
      <c r="AT25" t="s">
        <v>104</v>
      </c>
      <c r="AU25" t="s">
        <v>64</v>
      </c>
      <c r="AV25" t="s">
        <v>105</v>
      </c>
      <c r="AW25" t="s">
        <v>66</v>
      </c>
      <c r="AX25" t="s">
        <v>94</v>
      </c>
      <c r="AY25" t="s">
        <v>69</v>
      </c>
      <c r="AZ25" t="s">
        <v>106</v>
      </c>
    </row>
    <row r="26" spans="1:52" x14ac:dyDescent="0.15">
      <c r="A26" t="s">
        <v>17</v>
      </c>
      <c r="B26" s="3" t="s">
        <v>21</v>
      </c>
      <c r="C26" s="45">
        <v>1.2296</v>
      </c>
      <c r="D26" s="45">
        <v>18.514099999999999</v>
      </c>
      <c r="E26" s="45">
        <v>2.2970000000000002</v>
      </c>
      <c r="F26" s="45">
        <v>4.9088000000000003</v>
      </c>
      <c r="G26" s="44">
        <v>26.9495</v>
      </c>
      <c r="H26" s="44">
        <f t="shared" si="6"/>
        <v>4.5626078405907343E-2</v>
      </c>
      <c r="I26" s="44">
        <f t="shared" si="7"/>
        <v>0.68699233752017663</v>
      </c>
      <c r="J26" s="44">
        <f t="shared" si="8"/>
        <v>8.5233492272583908E-2</v>
      </c>
      <c r="K26" s="44">
        <f t="shared" si="9"/>
        <v>0.18214809180133212</v>
      </c>
      <c r="L26" s="58">
        <v>0.40048500520813102</v>
      </c>
      <c r="M26" s="58">
        <v>2.6840995137592E-2</v>
      </c>
      <c r="N26" s="65">
        <v>0.2</v>
      </c>
      <c r="O26" s="85">
        <v>105.2865</v>
      </c>
      <c r="P26" s="85">
        <v>109.269543451584</v>
      </c>
      <c r="Q26" s="85">
        <v>0.73261841592608401</v>
      </c>
      <c r="S26" s="3" t="s">
        <v>21</v>
      </c>
      <c r="T26">
        <v>6.4848545243786502</v>
      </c>
      <c r="U26">
        <v>0.40048500500000001</v>
      </c>
      <c r="V26">
        <v>-1.5027936725006501</v>
      </c>
      <c r="W26">
        <v>0.2</v>
      </c>
      <c r="X26">
        <v>105.28700000000001</v>
      </c>
      <c r="Y26">
        <v>109.27</v>
      </c>
      <c r="Z26">
        <v>0.73299999999999998</v>
      </c>
      <c r="AJ26" s="3" t="s">
        <v>21</v>
      </c>
      <c r="AK26">
        <v>0.72436999999999996</v>
      </c>
      <c r="AL26">
        <v>-0.20855000000000001</v>
      </c>
      <c r="AM26">
        <v>1.7648699999999999</v>
      </c>
      <c r="AP26" t="s">
        <v>70</v>
      </c>
      <c r="AQ26">
        <v>2.2679</v>
      </c>
      <c r="AR26">
        <v>8.8000000000000005E-3</v>
      </c>
      <c r="AS26">
        <v>1709</v>
      </c>
    </row>
    <row r="27" spans="1:52" x14ac:dyDescent="0.15">
      <c r="A27" t="s">
        <v>17</v>
      </c>
      <c r="B27" s="3" t="s">
        <v>21</v>
      </c>
      <c r="C27" s="45">
        <v>1.3917999999999999</v>
      </c>
      <c r="D27" s="45">
        <v>13.9093</v>
      </c>
      <c r="E27" s="45">
        <v>2.2867999999999999</v>
      </c>
      <c r="F27" s="45">
        <v>5.2081</v>
      </c>
      <c r="G27" s="44">
        <v>22.795999999999999</v>
      </c>
      <c r="H27" s="44">
        <f t="shared" si="6"/>
        <v>6.1054570977364449E-2</v>
      </c>
      <c r="I27" s="44">
        <f t="shared" si="7"/>
        <v>0.61016406387085453</v>
      </c>
      <c r="J27" s="44">
        <f t="shared" si="8"/>
        <v>0.10031584488506756</v>
      </c>
      <c r="K27" s="44">
        <f t="shared" si="9"/>
        <v>0.22846552026671346</v>
      </c>
      <c r="L27" s="58">
        <v>0.42259282911095603</v>
      </c>
      <c r="M27" s="58">
        <v>2.7668043074012501E-2</v>
      </c>
      <c r="N27" s="65">
        <v>0.2</v>
      </c>
      <c r="O27" s="85">
        <v>64.132499999999993</v>
      </c>
      <c r="P27" s="85">
        <v>107.45539424963501</v>
      </c>
      <c r="Q27" s="85">
        <v>0.67121863484821898</v>
      </c>
      <c r="S27" s="3" t="s">
        <v>21</v>
      </c>
      <c r="T27">
        <v>5.9301432981784501</v>
      </c>
      <c r="U27">
        <v>0.422592829</v>
      </c>
      <c r="V27">
        <v>-1.49911034331127</v>
      </c>
      <c r="W27">
        <v>0.2</v>
      </c>
      <c r="X27">
        <v>64.132999999999996</v>
      </c>
      <c r="Y27">
        <v>107.455</v>
      </c>
      <c r="Z27">
        <v>0.67100000000000004</v>
      </c>
      <c r="AJ27" s="3" t="s">
        <v>21</v>
      </c>
      <c r="AK27">
        <v>0.61575999999999997</v>
      </c>
      <c r="AL27">
        <v>-0.76727000000000001</v>
      </c>
      <c r="AM27">
        <v>0.68472</v>
      </c>
      <c r="AP27" t="s">
        <v>73</v>
      </c>
      <c r="AQ27">
        <v>2.6991999999999998</v>
      </c>
      <c r="AR27">
        <v>1.1999999999999999E-3</v>
      </c>
      <c r="AS27">
        <v>1709</v>
      </c>
    </row>
    <row r="28" spans="1:52" x14ac:dyDescent="0.15">
      <c r="A28" t="s">
        <v>17</v>
      </c>
      <c r="B28" s="3" t="s">
        <v>21</v>
      </c>
      <c r="C28" s="45">
        <v>1.2685999999999999</v>
      </c>
      <c r="D28" s="45">
        <v>13.709199999999999</v>
      </c>
      <c r="E28" s="45">
        <v>2.0148000000000001</v>
      </c>
      <c r="F28" s="45">
        <v>4.9452999999999996</v>
      </c>
      <c r="G28" s="44">
        <v>21.937899999999999</v>
      </c>
      <c r="H28" s="44">
        <f t="shared" si="6"/>
        <v>5.7826865834924947E-2</v>
      </c>
      <c r="I28" s="44">
        <f t="shared" si="7"/>
        <v>0.62490940336130618</v>
      </c>
      <c r="J28" s="44">
        <f t="shared" si="8"/>
        <v>9.1841060447900677E-2</v>
      </c>
      <c r="K28" s="44">
        <f t="shared" si="9"/>
        <v>0.22542267035586813</v>
      </c>
      <c r="L28" s="58">
        <v>0.40312090867744499</v>
      </c>
      <c r="M28" s="58">
        <v>2.7656199209449901E-2</v>
      </c>
      <c r="N28" s="65">
        <v>0.21</v>
      </c>
      <c r="O28" s="85">
        <v>66.265000000000001</v>
      </c>
      <c r="P28" s="85">
        <v>94.120198822567502</v>
      </c>
      <c r="Q28" s="85">
        <v>0.68273626919623098</v>
      </c>
      <c r="S28" s="3" t="s">
        <v>21</v>
      </c>
      <c r="T28">
        <v>5.8074244181059402</v>
      </c>
      <c r="U28">
        <v>0.40312090900000003</v>
      </c>
      <c r="V28">
        <v>-1.4991627667376</v>
      </c>
      <c r="W28">
        <v>0.21</v>
      </c>
      <c r="X28">
        <v>66.265000000000001</v>
      </c>
      <c r="Y28">
        <v>94.12</v>
      </c>
      <c r="Z28">
        <v>0.68300000000000005</v>
      </c>
      <c r="AJ28" s="3" t="s">
        <v>21</v>
      </c>
      <c r="AK28">
        <v>0.68667999999999996</v>
      </c>
      <c r="AL28">
        <v>-0.83204999999999996</v>
      </c>
      <c r="AM28">
        <v>0.92686000000000002</v>
      </c>
      <c r="AP28" t="s">
        <v>74</v>
      </c>
      <c r="AQ28">
        <v>3.5421999999999998</v>
      </c>
      <c r="AR28">
        <v>6.9999999999999999E-4</v>
      </c>
      <c r="AS28">
        <v>1713</v>
      </c>
    </row>
    <row r="29" spans="1:52" x14ac:dyDescent="0.15">
      <c r="A29" t="s">
        <v>17</v>
      </c>
      <c r="B29" s="3" t="s">
        <v>21</v>
      </c>
      <c r="C29" s="45">
        <v>1.0815999999999999</v>
      </c>
      <c r="D29" s="45">
        <v>7.7721</v>
      </c>
      <c r="E29" s="45">
        <v>2.1943000000000001</v>
      </c>
      <c r="F29" s="45">
        <v>3.2431000000000001</v>
      </c>
      <c r="G29" s="44">
        <v>14.2911</v>
      </c>
      <c r="H29" s="44">
        <f t="shared" si="6"/>
        <v>7.5683467332815516E-2</v>
      </c>
      <c r="I29" s="44">
        <f t="shared" si="7"/>
        <v>0.54384197157671554</v>
      </c>
      <c r="J29" s="44">
        <f t="shared" si="8"/>
        <v>0.15354311424592929</v>
      </c>
      <c r="K29" s="44">
        <f t="shared" si="9"/>
        <v>0.22693144684453961</v>
      </c>
      <c r="L29" s="58">
        <v>0.41284459657873501</v>
      </c>
      <c r="M29" s="58">
        <v>2.1521534584536501E-2</v>
      </c>
      <c r="N29" s="65">
        <v>0.19500000000000001</v>
      </c>
      <c r="O29" s="85">
        <v>54.948999999999998</v>
      </c>
      <c r="P29" s="85">
        <v>105.48775985099201</v>
      </c>
      <c r="Q29" s="85">
        <v>0.61952543890953105</v>
      </c>
      <c r="S29" s="3" t="s">
        <v>21</v>
      </c>
      <c r="T29">
        <v>4.5519647878225804</v>
      </c>
      <c r="U29">
        <v>0.41284459699999998</v>
      </c>
      <c r="V29">
        <v>-1.52771820302146</v>
      </c>
      <c r="W29">
        <v>0.19500000000000001</v>
      </c>
      <c r="X29">
        <v>54.948999999999998</v>
      </c>
      <c r="Y29">
        <v>105.488</v>
      </c>
      <c r="Z29">
        <v>0.62</v>
      </c>
      <c r="AJ29" s="3" t="s">
        <v>21</v>
      </c>
      <c r="AK29">
        <v>-0.23744999999999999</v>
      </c>
      <c r="AL29">
        <v>-0.92620000000000002</v>
      </c>
      <c r="AM29">
        <v>-2.8250000000000001E-2</v>
      </c>
      <c r="AP29" t="s">
        <v>75</v>
      </c>
      <c r="AQ29">
        <v>3.5630000000000002</v>
      </c>
      <c r="AR29">
        <v>5.9999999999999995E-4</v>
      </c>
      <c r="AS29">
        <v>1703</v>
      </c>
    </row>
    <row r="30" spans="1:52" x14ac:dyDescent="0.15">
      <c r="A30" t="s">
        <v>17</v>
      </c>
      <c r="B30" s="3" t="s">
        <v>22</v>
      </c>
      <c r="C30" s="44">
        <v>3.5840000000000001</v>
      </c>
      <c r="D30" s="44">
        <v>11.9544</v>
      </c>
      <c r="E30" s="44">
        <v>7.3352000000000004</v>
      </c>
      <c r="F30" s="44">
        <v>11.8904</v>
      </c>
      <c r="G30" s="44">
        <v>34.764000000000003</v>
      </c>
      <c r="H30" s="44">
        <v>0.10309515590841099</v>
      </c>
      <c r="I30" s="44">
        <v>0.44696812794845198</v>
      </c>
      <c r="J30" s="44">
        <v>0.21099988493844199</v>
      </c>
      <c r="K30" s="44">
        <v>0.34203198711310501</v>
      </c>
      <c r="L30" s="58">
        <v>0.40638681900261298</v>
      </c>
      <c r="M30" s="58">
        <v>2.79118549085597E-2</v>
      </c>
      <c r="N30" s="65">
        <v>0.21</v>
      </c>
      <c r="O30" s="65">
        <v>31.517499999999998</v>
      </c>
      <c r="P30" s="65">
        <v>22.490211129078901</v>
      </c>
      <c r="Q30" s="65">
        <v>0.44696812794845198</v>
      </c>
      <c r="S30" s="3" t="s">
        <v>22</v>
      </c>
      <c r="T30">
        <v>7.3983868827070998</v>
      </c>
      <c r="U30">
        <v>0.40638681900000001</v>
      </c>
      <c r="V30">
        <v>-1.49803325153183</v>
      </c>
      <c r="W30">
        <v>0.21</v>
      </c>
      <c r="X30">
        <v>31.517499999999998</v>
      </c>
      <c r="Y30">
        <v>22.490200000000002</v>
      </c>
      <c r="Z30">
        <v>0.44700000000000001</v>
      </c>
      <c r="AJ30" s="3" t="s">
        <v>22</v>
      </c>
      <c r="AK30">
        <v>1.5372300000000001</v>
      </c>
      <c r="AL30">
        <v>-0.72901000000000005</v>
      </c>
      <c r="AM30">
        <v>-1.29698</v>
      </c>
      <c r="AP30" t="s">
        <v>76</v>
      </c>
      <c r="AQ30">
        <v>1.7267999999999999</v>
      </c>
      <c r="AR30">
        <v>5.1299999999999998E-2</v>
      </c>
      <c r="AS30">
        <v>1710</v>
      </c>
    </row>
    <row r="31" spans="1:52" x14ac:dyDescent="0.15">
      <c r="A31" t="s">
        <v>17</v>
      </c>
      <c r="B31" s="3" t="s">
        <v>22</v>
      </c>
      <c r="C31" s="44">
        <v>3.2492000000000001</v>
      </c>
      <c r="D31" s="44">
        <v>16.110600000000002</v>
      </c>
      <c r="E31" s="44">
        <v>8.5864999999999991</v>
      </c>
      <c r="F31" s="44">
        <v>12.0839</v>
      </c>
      <c r="G31" s="44">
        <v>40.030200000000001</v>
      </c>
      <c r="H31" s="44">
        <v>8.1168717618198299E-2</v>
      </c>
      <c r="I31" s="44">
        <v>0.48362985945611098</v>
      </c>
      <c r="J31" s="44">
        <v>0.214500552083177</v>
      </c>
      <c r="K31" s="44">
        <v>0.30186958846071199</v>
      </c>
      <c r="L31" s="58">
        <v>0.49442651155635697</v>
      </c>
      <c r="M31" s="58">
        <v>2.70343811474093E-2</v>
      </c>
      <c r="N31" s="65">
        <v>0.13</v>
      </c>
      <c r="O31" s="65">
        <v>27.2805</v>
      </c>
      <c r="P31" s="65">
        <v>28.373145460975401</v>
      </c>
      <c r="Q31" s="65">
        <v>0.48362985945611098</v>
      </c>
      <c r="S31" s="3" t="s">
        <v>22</v>
      </c>
      <c r="T31">
        <v>7.9438347848283497</v>
      </c>
      <c r="U31">
        <v>0.49442651199999998</v>
      </c>
      <c r="V31">
        <v>-1.5019282440827399</v>
      </c>
      <c r="W31">
        <v>0.13</v>
      </c>
      <c r="X31">
        <v>27.2805</v>
      </c>
      <c r="Y31">
        <v>28.373100000000001</v>
      </c>
      <c r="Z31">
        <v>0.48359999999999997</v>
      </c>
      <c r="AJ31" s="3" t="s">
        <v>22</v>
      </c>
      <c r="AK31">
        <v>1.51979</v>
      </c>
      <c r="AL31">
        <v>-1.19</v>
      </c>
      <c r="AM31">
        <v>-1.9212199999999999</v>
      </c>
      <c r="AP31" t="s">
        <v>77</v>
      </c>
      <c r="AQ31">
        <v>2.742</v>
      </c>
      <c r="AR31">
        <v>1.2999999999999999E-3</v>
      </c>
      <c r="AS31">
        <v>1710</v>
      </c>
    </row>
    <row r="32" spans="1:52" x14ac:dyDescent="0.15">
      <c r="A32" t="s">
        <v>17</v>
      </c>
      <c r="B32" s="3" t="s">
        <v>22</v>
      </c>
      <c r="C32" s="44">
        <v>3.4758</v>
      </c>
      <c r="D32" s="44">
        <v>11.0627</v>
      </c>
      <c r="E32" s="44">
        <v>4.1938000000000004</v>
      </c>
      <c r="F32" s="44">
        <v>6.7984</v>
      </c>
      <c r="G32" s="44">
        <v>25.5307</v>
      </c>
      <c r="H32" s="44">
        <v>0.13614197808912401</v>
      </c>
      <c r="I32" s="44">
        <v>0.56945167974242805</v>
      </c>
      <c r="J32" s="44">
        <v>0.16426498294210501</v>
      </c>
      <c r="K32" s="44">
        <v>0.26628333731546699</v>
      </c>
      <c r="L32" s="58">
        <v>0.45825348430540602</v>
      </c>
      <c r="M32" s="58">
        <v>2.79867727040044E-2</v>
      </c>
      <c r="N32" s="65">
        <v>0.19500000000000001</v>
      </c>
      <c r="O32" s="65">
        <v>54.773499999999999</v>
      </c>
      <c r="P32" s="65">
        <v>64.5542656072829</v>
      </c>
      <c r="Q32" s="65">
        <v>0.56945167974242805</v>
      </c>
      <c r="S32" s="3" t="s">
        <v>22</v>
      </c>
      <c r="T32">
        <v>6.3014920579962697</v>
      </c>
      <c r="U32">
        <v>0.45825348399999999</v>
      </c>
      <c r="V32">
        <v>-1.4977030695290501</v>
      </c>
      <c r="W32">
        <v>0.19500000000000001</v>
      </c>
      <c r="X32">
        <v>54.773499999999999</v>
      </c>
      <c r="Y32">
        <v>64.554299999999998</v>
      </c>
      <c r="Z32">
        <v>0.56950000000000001</v>
      </c>
      <c r="AJ32" s="3" t="s">
        <v>22</v>
      </c>
      <c r="AK32">
        <v>1.30986</v>
      </c>
      <c r="AL32">
        <v>-0.74412</v>
      </c>
      <c r="AM32">
        <v>-0.65068999999999999</v>
      </c>
      <c r="AP32" t="s">
        <v>78</v>
      </c>
      <c r="AQ32">
        <v>3.9946000000000002</v>
      </c>
      <c r="AR32">
        <v>5.0000000000000001E-4</v>
      </c>
      <c r="AS32">
        <v>1709</v>
      </c>
    </row>
    <row r="33" spans="1:45" x14ac:dyDescent="0.15">
      <c r="A33" t="s">
        <v>17</v>
      </c>
      <c r="B33" s="3" t="s">
        <v>22</v>
      </c>
      <c r="C33" s="44">
        <v>6.1875999999999998</v>
      </c>
      <c r="D33" s="44">
        <v>43.0229</v>
      </c>
      <c r="E33" s="44">
        <v>8.8368000000000002</v>
      </c>
      <c r="F33" s="44">
        <v>10.803900000000001</v>
      </c>
      <c r="G33" s="44">
        <v>68.851200000000006</v>
      </c>
      <c r="H33" s="44">
        <v>8.9869167131437097E-2</v>
      </c>
      <c r="I33" s="44">
        <v>0.71473699804796398</v>
      </c>
      <c r="J33" s="44">
        <v>0.12834634690462901</v>
      </c>
      <c r="K33" s="44">
        <v>0.15691665504740701</v>
      </c>
      <c r="L33" s="58">
        <v>0.44062663023203702</v>
      </c>
      <c r="M33" s="58">
        <v>2.23841308770973E-2</v>
      </c>
      <c r="N33" s="65">
        <v>0.22</v>
      </c>
      <c r="O33" s="65">
        <v>37.670999999999999</v>
      </c>
      <c r="P33" s="65">
        <v>29.0813825367484</v>
      </c>
      <c r="Q33" s="65">
        <v>0.71473699804796398</v>
      </c>
      <c r="S33" s="3" t="s">
        <v>22</v>
      </c>
      <c r="T33">
        <v>10.328319764226601</v>
      </c>
      <c r="U33">
        <v>0.44062663000000002</v>
      </c>
      <c r="V33">
        <v>-1.5235160035283399</v>
      </c>
      <c r="W33">
        <v>0.22</v>
      </c>
      <c r="X33">
        <v>37.670999999999999</v>
      </c>
      <c r="Y33">
        <v>29.081399999999999</v>
      </c>
      <c r="Z33">
        <v>0.7147</v>
      </c>
      <c r="AJ33" s="3" t="s">
        <v>22</v>
      </c>
      <c r="AK33">
        <v>2.2749700000000002</v>
      </c>
      <c r="AL33">
        <v>-2.4357600000000001</v>
      </c>
      <c r="AM33">
        <v>0.44735999999999998</v>
      </c>
      <c r="AP33" t="s">
        <v>79</v>
      </c>
      <c r="AQ33">
        <v>4.3722000000000003</v>
      </c>
      <c r="AR33">
        <v>5.0000000000000001E-4</v>
      </c>
      <c r="AS33">
        <v>1706</v>
      </c>
    </row>
    <row r="34" spans="1:45" x14ac:dyDescent="0.15">
      <c r="A34" t="s">
        <v>17</v>
      </c>
      <c r="B34" s="3" t="s">
        <v>22</v>
      </c>
      <c r="C34" s="44">
        <v>6.3708999999999998</v>
      </c>
      <c r="D34" s="44">
        <v>24.8949</v>
      </c>
      <c r="E34" s="44">
        <v>8.6875999999999998</v>
      </c>
      <c r="F34" s="44">
        <v>11.2156</v>
      </c>
      <c r="G34" s="44">
        <v>51.168999999999997</v>
      </c>
      <c r="H34" s="44">
        <v>0.12450702573824</v>
      </c>
      <c r="I34" s="44">
        <v>0.61103011589048095</v>
      </c>
      <c r="J34" s="44">
        <v>0.169782485489261</v>
      </c>
      <c r="K34" s="44">
        <v>0.21918739862025799</v>
      </c>
      <c r="L34" s="58">
        <v>0.47239567090353501</v>
      </c>
      <c r="M34" s="58">
        <v>2.8927407221165199E-2</v>
      </c>
      <c r="N34" s="65">
        <v>0.17499999999999999</v>
      </c>
      <c r="O34" s="65">
        <v>83.145499999999998</v>
      </c>
      <c r="P34" s="65">
        <v>105.755044159907</v>
      </c>
      <c r="Q34" s="65">
        <v>0.61103011589048095</v>
      </c>
      <c r="S34" s="3" t="s">
        <v>22</v>
      </c>
      <c r="T34">
        <v>8.9638133860712497</v>
      </c>
      <c r="U34">
        <v>0.47239567100000002</v>
      </c>
      <c r="V34">
        <v>-1.49358818780929</v>
      </c>
      <c r="W34">
        <v>0.17499999999999999</v>
      </c>
      <c r="X34">
        <v>83.145499999999998</v>
      </c>
      <c r="Y34">
        <v>105.755</v>
      </c>
      <c r="Z34">
        <v>0.61099999999999999</v>
      </c>
      <c r="AJ34" s="3" t="s">
        <v>22</v>
      </c>
      <c r="AK34">
        <v>1.5765</v>
      </c>
      <c r="AL34">
        <v>-0.12275</v>
      </c>
      <c r="AM34">
        <v>0.2034</v>
      </c>
      <c r="AP34" t="s">
        <v>80</v>
      </c>
      <c r="AQ34">
        <v>4.4428000000000001</v>
      </c>
      <c r="AR34">
        <v>4.0000000000000002E-4</v>
      </c>
      <c r="AS34">
        <v>1706</v>
      </c>
    </row>
    <row r="35" spans="1:45" x14ac:dyDescent="0.15">
      <c r="A35" t="s">
        <v>17</v>
      </c>
      <c r="B35" s="3" t="s">
        <v>22</v>
      </c>
      <c r="C35" s="44">
        <v>4.2873000000000001</v>
      </c>
      <c r="D35" s="44">
        <v>25.552099999999999</v>
      </c>
      <c r="E35" s="44">
        <v>14.049200000000001</v>
      </c>
      <c r="F35" s="44">
        <v>17.0657</v>
      </c>
      <c r="G35" s="44">
        <v>60.954300000000003</v>
      </c>
      <c r="H35" s="44">
        <v>7.0336301130519099E-2</v>
      </c>
      <c r="I35" s="44">
        <v>0.48953724347584998</v>
      </c>
      <c r="J35" s="44">
        <v>0.23048743074729799</v>
      </c>
      <c r="K35" s="44">
        <v>0.27997532577685202</v>
      </c>
      <c r="L35" s="58">
        <v>0.47632392741087198</v>
      </c>
      <c r="M35" s="58">
        <v>3.1233467701699099E-2</v>
      </c>
      <c r="N35" s="65">
        <v>0.20499999999999999</v>
      </c>
      <c r="O35" s="65">
        <v>80.447500000000005</v>
      </c>
      <c r="P35" s="65">
        <v>73.159897368218495</v>
      </c>
      <c r="Q35" s="65">
        <v>0.48953724347584998</v>
      </c>
      <c r="S35" s="3" t="s">
        <v>22</v>
      </c>
      <c r="T35">
        <v>9.7496055001278403</v>
      </c>
      <c r="U35">
        <v>0.47632392699999998</v>
      </c>
      <c r="V35">
        <v>-1.4837283776893</v>
      </c>
      <c r="W35">
        <v>0.20499999999999999</v>
      </c>
      <c r="X35">
        <v>80.447500000000005</v>
      </c>
      <c r="Y35">
        <v>73.159899999999993</v>
      </c>
      <c r="Z35">
        <v>0.48949999999999999</v>
      </c>
      <c r="AJ35" s="3" t="s">
        <v>22</v>
      </c>
      <c r="AK35">
        <v>2.4424399999999999</v>
      </c>
      <c r="AL35">
        <v>0.35022999999999999</v>
      </c>
      <c r="AM35">
        <v>-0.75173000000000001</v>
      </c>
      <c r="AP35" t="s">
        <v>81</v>
      </c>
      <c r="AQ35">
        <v>1.9088000000000001</v>
      </c>
      <c r="AR35">
        <v>1.2800000000000001E-2</v>
      </c>
      <c r="AS35">
        <v>1711</v>
      </c>
    </row>
    <row r="36" spans="1:45" x14ac:dyDescent="0.15">
      <c r="A36" t="s">
        <v>17</v>
      </c>
      <c r="B36" s="3" t="s">
        <v>22</v>
      </c>
      <c r="C36" s="44">
        <v>2.7637999999999998</v>
      </c>
      <c r="D36" s="44">
        <v>19.473700000000001</v>
      </c>
      <c r="E36" s="44">
        <v>6.0720000000000001</v>
      </c>
      <c r="F36" s="44">
        <v>10.1157</v>
      </c>
      <c r="G36" s="44">
        <v>38.425199999999997</v>
      </c>
      <c r="H36" s="44">
        <v>7.1926756399446207E-2</v>
      </c>
      <c r="I36" s="44">
        <v>0.57872177633428101</v>
      </c>
      <c r="J36" s="44">
        <v>0.15802129852284399</v>
      </c>
      <c r="K36" s="44">
        <v>0.26325692514287502</v>
      </c>
      <c r="L36" s="58">
        <v>0.45068402634636201</v>
      </c>
      <c r="M36" s="58">
        <v>2.8470441019405001E-2</v>
      </c>
      <c r="N36" s="65">
        <v>0.19</v>
      </c>
      <c r="O36" s="65">
        <v>91.412999999999997</v>
      </c>
      <c r="P36" s="65">
        <v>87.071868871707494</v>
      </c>
      <c r="Q36" s="65">
        <v>0.57872177633428101</v>
      </c>
      <c r="S36" s="3" t="s">
        <v>22</v>
      </c>
      <c r="T36">
        <v>7.7832547963358998</v>
      </c>
      <c r="U36">
        <v>0.45068402600000002</v>
      </c>
      <c r="V36">
        <v>-1.49558018114109</v>
      </c>
      <c r="W36">
        <v>0.19</v>
      </c>
      <c r="X36">
        <v>91.412999999999997</v>
      </c>
      <c r="Y36">
        <v>87.071899999999999</v>
      </c>
      <c r="Z36">
        <v>0.57869999999999999</v>
      </c>
      <c r="AJ36" s="3" t="s">
        <v>22</v>
      </c>
      <c r="AK36">
        <v>1.48654</v>
      </c>
      <c r="AL36">
        <v>0.15695999999999999</v>
      </c>
      <c r="AM36">
        <v>6.4009999999999997E-2</v>
      </c>
      <c r="AP36" t="s">
        <v>82</v>
      </c>
      <c r="AQ36">
        <v>3.5821000000000001</v>
      </c>
      <c r="AR36">
        <v>5.9999999999999995E-4</v>
      </c>
      <c r="AS36">
        <v>1707</v>
      </c>
    </row>
    <row r="37" spans="1:45" x14ac:dyDescent="0.15">
      <c r="A37" t="s">
        <v>17</v>
      </c>
      <c r="B37" s="3" t="s">
        <v>23</v>
      </c>
      <c r="C37" s="44">
        <v>9.3975000000000009</v>
      </c>
      <c r="D37" s="44">
        <v>30.584900000000001</v>
      </c>
      <c r="E37" s="44">
        <v>7.5833000000000004</v>
      </c>
      <c r="F37" s="44">
        <v>13.6289</v>
      </c>
      <c r="G37" s="44">
        <v>61.194600000000001</v>
      </c>
      <c r="H37" s="44">
        <v>0.15356747163965401</v>
      </c>
      <c r="I37" s="44">
        <v>0.653364839381253</v>
      </c>
      <c r="J37" s="44">
        <v>0.123921064930566</v>
      </c>
      <c r="K37" s="44">
        <v>0.22271409568818201</v>
      </c>
      <c r="L37" s="58">
        <v>0.453368951539806</v>
      </c>
      <c r="M37" s="58">
        <v>2.8310830073421299E-2</v>
      </c>
      <c r="N37" s="65">
        <v>0.27</v>
      </c>
      <c r="O37" s="65">
        <v>111.37949999999999</v>
      </c>
      <c r="P37" s="65">
        <v>90.082524858743696</v>
      </c>
      <c r="Q37" s="65">
        <v>0.653364839381253</v>
      </c>
      <c r="S37" s="3" t="s">
        <v>23</v>
      </c>
      <c r="T37">
        <v>9.7678581551158796</v>
      </c>
      <c r="U37">
        <v>0.45336895199999999</v>
      </c>
      <c r="V37">
        <v>-1.4962790717987</v>
      </c>
      <c r="W37">
        <v>0.27</v>
      </c>
      <c r="X37">
        <v>111.37949999999999</v>
      </c>
      <c r="Y37">
        <v>90.082499999999996</v>
      </c>
      <c r="Z37">
        <v>0.65339999999999998</v>
      </c>
      <c r="AJ37" s="3" t="s">
        <v>23</v>
      </c>
      <c r="AK37">
        <v>2.7275</v>
      </c>
      <c r="AL37">
        <v>9.1429999999999997E-2</v>
      </c>
      <c r="AM37">
        <v>0.91783999999999999</v>
      </c>
      <c r="AP37" t="s">
        <v>83</v>
      </c>
      <c r="AQ37">
        <v>3.3815</v>
      </c>
      <c r="AR37">
        <v>1E-3</v>
      </c>
      <c r="AS37">
        <v>1710</v>
      </c>
    </row>
    <row r="38" spans="1:45" x14ac:dyDescent="0.15">
      <c r="A38" t="s">
        <v>17</v>
      </c>
      <c r="B38" s="3" t="s">
        <v>23</v>
      </c>
      <c r="C38" s="44">
        <v>7.0475000000000003</v>
      </c>
      <c r="D38" s="44">
        <v>25.7546</v>
      </c>
      <c r="E38" s="44">
        <v>3.5478000000000001</v>
      </c>
      <c r="F38" s="44">
        <v>6.3335999999999997</v>
      </c>
      <c r="G38" s="44">
        <v>42.683500000000002</v>
      </c>
      <c r="H38" s="44">
        <v>0.16511063994283501</v>
      </c>
      <c r="I38" s="44">
        <v>0.76849602305340503</v>
      </c>
      <c r="J38" s="44">
        <v>8.3118769547951804E-2</v>
      </c>
      <c r="K38" s="44">
        <v>0.148385207398643</v>
      </c>
      <c r="L38" s="58">
        <v>0.45141345062075999</v>
      </c>
      <c r="M38" s="58">
        <v>1.83630007943788E-2</v>
      </c>
      <c r="N38" s="65">
        <v>0.21</v>
      </c>
      <c r="O38" s="65">
        <v>89.222999999999999</v>
      </c>
      <c r="P38" s="65">
        <v>92.7788584887452</v>
      </c>
      <c r="Q38" s="65">
        <v>0.76849602305340503</v>
      </c>
      <c r="S38" s="3" t="s">
        <v>23</v>
      </c>
      <c r="T38">
        <v>8.2011755707551703</v>
      </c>
      <c r="U38">
        <v>0.45141345100000002</v>
      </c>
      <c r="V38">
        <v>-1.5437396445853699</v>
      </c>
      <c r="W38">
        <v>0.21</v>
      </c>
      <c r="X38">
        <v>89.222999999999999</v>
      </c>
      <c r="Y38">
        <v>92.778899999999993</v>
      </c>
      <c r="Z38">
        <v>0.76849999999999996</v>
      </c>
      <c r="AJ38" s="3" t="s">
        <v>23</v>
      </c>
      <c r="AK38">
        <v>1.1358999999999999</v>
      </c>
      <c r="AL38">
        <v>-1.41222</v>
      </c>
      <c r="AM38">
        <v>1.10077</v>
      </c>
      <c r="AP38" t="s">
        <v>84</v>
      </c>
      <c r="AQ38">
        <v>2.9024999999999999</v>
      </c>
      <c r="AR38">
        <v>8.9999999999999998E-4</v>
      </c>
      <c r="AS38">
        <v>1711</v>
      </c>
    </row>
    <row r="39" spans="1:45" x14ac:dyDescent="0.15">
      <c r="A39" t="s">
        <v>17</v>
      </c>
      <c r="B39" s="3" t="s">
        <v>23</v>
      </c>
      <c r="C39" s="44">
        <v>3.8877000000000002</v>
      </c>
      <c r="D39" s="44">
        <v>25.567900000000002</v>
      </c>
      <c r="E39" s="44">
        <v>9.9787999999999997</v>
      </c>
      <c r="F39" s="44">
        <v>12.892200000000001</v>
      </c>
      <c r="G39" s="44">
        <v>52.326599999999999</v>
      </c>
      <c r="H39" s="44">
        <v>7.42968203552304E-2</v>
      </c>
      <c r="I39" s="44">
        <v>0.56291828630180396</v>
      </c>
      <c r="J39" s="44">
        <v>0.190702243218554</v>
      </c>
      <c r="K39" s="44">
        <v>0.24637947047964101</v>
      </c>
      <c r="L39" s="58">
        <v>0.462735742647578</v>
      </c>
      <c r="M39" s="58">
        <v>2.6833075168390199E-2</v>
      </c>
      <c r="N39" s="65">
        <v>0.27</v>
      </c>
      <c r="O39" s="65">
        <v>111.026</v>
      </c>
      <c r="P39" s="65">
        <v>91.528095582192407</v>
      </c>
      <c r="Q39" s="65">
        <v>0.56291828630180396</v>
      </c>
      <c r="S39" s="3" t="s">
        <v>23</v>
      </c>
      <c r="T39">
        <v>9.0616813870721007</v>
      </c>
      <c r="U39">
        <v>0.46273574299999998</v>
      </c>
      <c r="V39">
        <v>-1.5028291705788499</v>
      </c>
      <c r="W39">
        <v>0.27</v>
      </c>
      <c r="X39">
        <v>111.026</v>
      </c>
      <c r="Y39">
        <v>91.528099999999995</v>
      </c>
      <c r="Z39">
        <v>0.56289999999999996</v>
      </c>
      <c r="AJ39" s="3" t="s">
        <v>23</v>
      </c>
      <c r="AK39">
        <v>2.4933299999999998</v>
      </c>
      <c r="AL39">
        <v>0.52366999999999997</v>
      </c>
      <c r="AM39">
        <v>4.0689999999999997E-2</v>
      </c>
      <c r="AP39" t="s">
        <v>85</v>
      </c>
      <c r="AQ39">
        <v>0.95640999999999998</v>
      </c>
      <c r="AR39">
        <v>0.43130000000000002</v>
      </c>
      <c r="AS39">
        <v>1714</v>
      </c>
    </row>
    <row r="40" spans="1:45" x14ac:dyDescent="0.15">
      <c r="A40" t="s">
        <v>17</v>
      </c>
      <c r="B40" s="3" t="s">
        <v>23</v>
      </c>
      <c r="C40" s="44">
        <v>3.5731999999999999</v>
      </c>
      <c r="D40" s="44">
        <v>13.8025</v>
      </c>
      <c r="E40" s="44">
        <v>4.0258000000000003</v>
      </c>
      <c r="F40" s="44">
        <v>7.0353000000000003</v>
      </c>
      <c r="G40" s="44">
        <v>28.436800000000002</v>
      </c>
      <c r="H40" s="44">
        <v>0.125654082034547</v>
      </c>
      <c r="I40" s="44">
        <v>0.61102866707927805</v>
      </c>
      <c r="J40" s="44">
        <v>0.141570078208519</v>
      </c>
      <c r="K40" s="44">
        <v>0.24740125471220401</v>
      </c>
      <c r="L40" s="58">
        <v>0.45222264772270998</v>
      </c>
      <c r="M40" s="58">
        <v>2.1051898662872302E-2</v>
      </c>
      <c r="N40" s="65">
        <v>0.3</v>
      </c>
      <c r="O40" s="65">
        <v>66.88</v>
      </c>
      <c r="P40" s="65">
        <v>70.079473678476205</v>
      </c>
      <c r="Q40" s="65">
        <v>0.61102866707927805</v>
      </c>
      <c r="S40" s="3" t="s">
        <v>23</v>
      </c>
      <c r="T40">
        <v>6.6708589492964503</v>
      </c>
      <c r="U40">
        <v>0.452222648</v>
      </c>
      <c r="V40">
        <v>-1.5300354258328199</v>
      </c>
      <c r="W40">
        <v>0.3</v>
      </c>
      <c r="X40">
        <v>66.88</v>
      </c>
      <c r="Y40">
        <v>70.079499999999996</v>
      </c>
      <c r="Z40">
        <v>0.61099999999999999</v>
      </c>
      <c r="AJ40" s="3" t="s">
        <v>23</v>
      </c>
      <c r="AK40">
        <v>1.8464499999999999</v>
      </c>
      <c r="AL40">
        <v>-1.06074</v>
      </c>
      <c r="AM40">
        <v>-0.41520000000000001</v>
      </c>
      <c r="AP40" t="s">
        <v>86</v>
      </c>
      <c r="AQ40">
        <v>2.7498</v>
      </c>
      <c r="AR40">
        <v>6.9999999999999999E-4</v>
      </c>
      <c r="AS40">
        <v>1713</v>
      </c>
    </row>
    <row r="41" spans="1:45" x14ac:dyDescent="0.15">
      <c r="A41" t="s">
        <v>17</v>
      </c>
      <c r="B41" s="3" t="s">
        <v>23</v>
      </c>
      <c r="C41" s="44">
        <v>7.8102999999999998</v>
      </c>
      <c r="D41" s="44">
        <v>16.158100000000001</v>
      </c>
      <c r="E41" s="44">
        <v>11.451599999999999</v>
      </c>
      <c r="F41" s="44">
        <v>14.4057</v>
      </c>
      <c r="G41" s="44">
        <v>49.825699999999998</v>
      </c>
      <c r="H41" s="44">
        <v>0.15675243900236199</v>
      </c>
      <c r="I41" s="44">
        <v>0.481044922600184</v>
      </c>
      <c r="J41" s="44">
        <v>0.229833198530076</v>
      </c>
      <c r="K41" s="44">
        <v>0.28912187886974</v>
      </c>
      <c r="L41" s="58">
        <v>0.46090128453982399</v>
      </c>
      <c r="M41" s="58">
        <v>2.9437731689272498E-2</v>
      </c>
      <c r="N41" s="65">
        <v>0.3</v>
      </c>
      <c r="O41" s="65">
        <v>101.709</v>
      </c>
      <c r="P41" s="65">
        <v>70.841000609131697</v>
      </c>
      <c r="Q41" s="65">
        <v>0.481044922600184</v>
      </c>
      <c r="S41" s="3" t="s">
        <v>23</v>
      </c>
      <c r="T41">
        <v>8.8490127177335207</v>
      </c>
      <c r="U41">
        <v>0.46090128499999999</v>
      </c>
      <c r="V41">
        <v>-1.4913789518295999</v>
      </c>
      <c r="W41">
        <v>0.3</v>
      </c>
      <c r="X41">
        <v>101.709</v>
      </c>
      <c r="Y41">
        <v>70.840999999999994</v>
      </c>
      <c r="Z41">
        <v>0.48099999999999998</v>
      </c>
      <c r="AJ41" s="3" t="s">
        <v>23</v>
      </c>
      <c r="AK41">
        <v>2.9867300000000001</v>
      </c>
      <c r="AL41">
        <v>0.75085000000000002</v>
      </c>
      <c r="AM41">
        <v>-0.64780000000000004</v>
      </c>
      <c r="AP41" t="s">
        <v>87</v>
      </c>
      <c r="AQ41">
        <v>2.5</v>
      </c>
      <c r="AR41">
        <v>8.9999999999999998E-4</v>
      </c>
      <c r="AS41">
        <v>1707</v>
      </c>
    </row>
    <row r="42" spans="1:45" x14ac:dyDescent="0.15">
      <c r="A42" t="s">
        <v>17</v>
      </c>
      <c r="B42" s="3" t="s">
        <v>23</v>
      </c>
      <c r="C42" s="44">
        <v>2.177</v>
      </c>
      <c r="D42" s="44">
        <v>18.813300000000002</v>
      </c>
      <c r="E42" s="44">
        <v>1.6425000000000001</v>
      </c>
      <c r="F42" s="44">
        <v>3.323</v>
      </c>
      <c r="G42" s="44">
        <v>25.9558</v>
      </c>
      <c r="H42" s="44">
        <v>8.3873353932454403E-2</v>
      </c>
      <c r="I42" s="44">
        <v>0.80869401058722901</v>
      </c>
      <c r="J42" s="44">
        <v>6.3280654034936296E-2</v>
      </c>
      <c r="K42" s="44">
        <v>0.128025335377835</v>
      </c>
      <c r="L42" s="58">
        <v>0.43114951700139997</v>
      </c>
      <c r="M42" s="58">
        <v>1.4492321696333301E-2</v>
      </c>
      <c r="N42" s="65">
        <v>0.25</v>
      </c>
      <c r="O42" s="65">
        <v>49.1935</v>
      </c>
      <c r="P42" s="65">
        <v>78.794003271405799</v>
      </c>
      <c r="Q42" s="65">
        <v>0.80869401058722901</v>
      </c>
      <c r="S42" s="3" t="s">
        <v>23</v>
      </c>
      <c r="T42">
        <v>6.3576774888697303</v>
      </c>
      <c r="U42">
        <v>0.43114951699999998</v>
      </c>
      <c r="V42">
        <v>-1.5650327572851099</v>
      </c>
      <c r="W42">
        <v>0.25</v>
      </c>
      <c r="X42">
        <v>49.1935</v>
      </c>
      <c r="Y42">
        <v>78.793999999999997</v>
      </c>
      <c r="Z42">
        <v>0.80869999999999997</v>
      </c>
      <c r="AJ42" s="3" t="s">
        <v>23</v>
      </c>
      <c r="AK42">
        <v>0.63144</v>
      </c>
      <c r="AL42">
        <v>-2.7496999999999998</v>
      </c>
      <c r="AM42">
        <v>0.84904000000000002</v>
      </c>
      <c r="AP42" t="s">
        <v>88</v>
      </c>
      <c r="AQ42">
        <v>2.0379999999999998</v>
      </c>
      <c r="AR42">
        <v>0.01</v>
      </c>
      <c r="AS42">
        <v>1712</v>
      </c>
    </row>
    <row r="43" spans="1:45" x14ac:dyDescent="0.15">
      <c r="A43" t="s">
        <v>17</v>
      </c>
      <c r="B43" s="3" t="s">
        <v>23</v>
      </c>
      <c r="C43" s="44">
        <v>3.2980999999999998</v>
      </c>
      <c r="D43" s="44">
        <v>13.414300000000001</v>
      </c>
      <c r="E43" s="44">
        <v>4.5949</v>
      </c>
      <c r="F43" s="44">
        <v>6.2762000000000002</v>
      </c>
      <c r="G43" s="44">
        <v>27.583500000000001</v>
      </c>
      <c r="H43" s="44">
        <v>0.11956785759602701</v>
      </c>
      <c r="I43" s="44">
        <v>0.60588395236282599</v>
      </c>
      <c r="J43" s="44">
        <v>0.16658147080682301</v>
      </c>
      <c r="K43" s="44">
        <v>0.227534576830351</v>
      </c>
      <c r="L43" s="58">
        <v>0.475542227024353</v>
      </c>
      <c r="M43" s="58">
        <v>2.1641511096334099E-2</v>
      </c>
      <c r="N43" s="65">
        <v>0.30499999999999999</v>
      </c>
      <c r="O43" s="65">
        <v>67.353499999999997</v>
      </c>
      <c r="P43" s="65">
        <v>75.351897169995496</v>
      </c>
      <c r="Q43" s="65">
        <v>0.60588395236282599</v>
      </c>
      <c r="S43" s="3" t="s">
        <v>23</v>
      </c>
      <c r="T43">
        <v>6.56426757269608</v>
      </c>
      <c r="U43">
        <v>0.47554222699999998</v>
      </c>
      <c r="V43">
        <v>-1.5271296043785001</v>
      </c>
      <c r="W43">
        <v>0.30499999999999999</v>
      </c>
      <c r="X43">
        <v>67.353499999999997</v>
      </c>
      <c r="Y43">
        <v>75.351900000000001</v>
      </c>
      <c r="Z43">
        <v>0.60589999999999999</v>
      </c>
      <c r="AJ43" s="3" t="s">
        <v>23</v>
      </c>
      <c r="AK43">
        <v>2.0320499999999999</v>
      </c>
      <c r="AL43">
        <v>-1.0176700000000001</v>
      </c>
      <c r="AM43">
        <v>-0.65971000000000002</v>
      </c>
      <c r="AP43" t="s">
        <v>89</v>
      </c>
      <c r="AQ43">
        <v>2.2772000000000001</v>
      </c>
      <c r="AR43">
        <v>8.0000000000000004E-4</v>
      </c>
      <c r="AS43">
        <v>1705</v>
      </c>
    </row>
    <row r="44" spans="1:45" x14ac:dyDescent="0.15">
      <c r="A44" t="s">
        <v>17</v>
      </c>
      <c r="B44" s="3" t="s">
        <v>24</v>
      </c>
      <c r="C44" s="44">
        <v>0.23619999999999999</v>
      </c>
      <c r="D44" s="44">
        <v>4.0054999999999996</v>
      </c>
      <c r="E44" s="44">
        <v>1.0584</v>
      </c>
      <c r="F44" s="44">
        <v>2.3321999999999998</v>
      </c>
      <c r="G44" s="44">
        <v>7.6322999999999999</v>
      </c>
      <c r="H44" s="44">
        <f t="shared" ref="H44:H50" si="10">C44/G44</f>
        <v>3.0947420829894004E-2</v>
      </c>
      <c r="I44" s="44">
        <f t="shared" ref="I44:I50" si="11">D44/G44</f>
        <v>0.52480903528425238</v>
      </c>
      <c r="J44" s="44">
        <f t="shared" ref="J44:J50" si="12">E44/G44</f>
        <v>0.13867379426909321</v>
      </c>
      <c r="K44" s="44">
        <f t="shared" ref="K44:K50" si="13">F44/G44</f>
        <v>0.30556974961676031</v>
      </c>
      <c r="L44" s="58">
        <v>0.45186069391162598</v>
      </c>
      <c r="M44" s="58">
        <v>2.0042676176536101E-2</v>
      </c>
      <c r="N44" s="65">
        <v>0.17499999999999999</v>
      </c>
      <c r="O44" s="65">
        <v>82.789500000000004</v>
      </c>
      <c r="P44" s="65">
        <v>129.27150681304701</v>
      </c>
      <c r="Q44" s="65">
        <v>0.55575645611414604</v>
      </c>
      <c r="S44" s="3" t="s">
        <v>24</v>
      </c>
      <c r="T44">
        <v>3.0416594486001398</v>
      </c>
      <c r="U44">
        <v>0.45186069400000001</v>
      </c>
      <c r="V44">
        <v>-1.5350887850114801</v>
      </c>
      <c r="W44">
        <v>0.17499999999999999</v>
      </c>
      <c r="X44">
        <v>82.789500000000004</v>
      </c>
      <c r="Y44">
        <v>129.2715</v>
      </c>
      <c r="Z44">
        <v>0.55579999999999996</v>
      </c>
      <c r="AJ44" s="3" t="s">
        <v>24</v>
      </c>
      <c r="AK44">
        <v>-0.68779000000000001</v>
      </c>
      <c r="AL44">
        <v>5.2920000000000002E-2</v>
      </c>
      <c r="AM44">
        <v>-0.75287000000000004</v>
      </c>
      <c r="AP44" t="s">
        <v>90</v>
      </c>
      <c r="AQ44">
        <v>2.2484999999999999</v>
      </c>
      <c r="AR44">
        <v>6.9999999999999999E-4</v>
      </c>
      <c r="AS44">
        <v>1708</v>
      </c>
    </row>
    <row r="45" spans="1:45" x14ac:dyDescent="0.15">
      <c r="A45" t="s">
        <v>17</v>
      </c>
      <c r="B45" s="3" t="s">
        <v>24</v>
      </c>
      <c r="C45" s="44">
        <v>0.34239999999999998</v>
      </c>
      <c r="D45" s="44">
        <v>5.4248000000000003</v>
      </c>
      <c r="E45" s="44">
        <v>1.0101</v>
      </c>
      <c r="F45" s="44">
        <v>3.2698</v>
      </c>
      <c r="G45" s="44">
        <v>10.0471</v>
      </c>
      <c r="H45" s="44">
        <f t="shared" si="10"/>
        <v>3.4079485622717003E-2</v>
      </c>
      <c r="I45" s="44">
        <f t="shared" si="11"/>
        <v>0.53993689721412153</v>
      </c>
      <c r="J45" s="44">
        <f t="shared" si="12"/>
        <v>0.10053647321117536</v>
      </c>
      <c r="K45" s="44">
        <f t="shared" si="13"/>
        <v>0.32544714395198615</v>
      </c>
      <c r="L45" s="58">
        <v>0.41018150597434699</v>
      </c>
      <c r="M45" s="58">
        <v>1.5010226587434001E-2</v>
      </c>
      <c r="N45" s="65">
        <v>0.14499999999999999</v>
      </c>
      <c r="O45" s="65">
        <v>68.603999999999999</v>
      </c>
      <c r="P45" s="65">
        <v>121.798786948117</v>
      </c>
      <c r="Q45" s="65">
        <v>0.57401638283683798</v>
      </c>
      <c r="S45" s="3" t="s">
        <v>24</v>
      </c>
      <c r="T45">
        <v>3.6614160985272699</v>
      </c>
      <c r="U45">
        <v>0.41018150599999997</v>
      </c>
      <c r="V45">
        <v>-1.5620576343658901</v>
      </c>
      <c r="W45">
        <v>0.14499999999999999</v>
      </c>
      <c r="X45">
        <v>68.603999999999999</v>
      </c>
      <c r="Y45">
        <v>121.7988</v>
      </c>
      <c r="Z45">
        <v>0.57399999999999995</v>
      </c>
      <c r="AJ45" s="3" t="s">
        <v>24</v>
      </c>
      <c r="AK45">
        <v>-1.4915499999999999</v>
      </c>
      <c r="AL45">
        <v>-0.55533999999999994</v>
      </c>
      <c r="AM45">
        <v>-0.48865999999999998</v>
      </c>
      <c r="AP45" t="s">
        <v>91</v>
      </c>
      <c r="AQ45">
        <v>2.2077</v>
      </c>
      <c r="AR45">
        <v>4.4000000000000003E-3</v>
      </c>
      <c r="AS45">
        <v>1709</v>
      </c>
    </row>
    <row r="46" spans="1:45" x14ac:dyDescent="0.15">
      <c r="A46" t="s">
        <v>17</v>
      </c>
      <c r="B46" s="3" t="s">
        <v>24</v>
      </c>
      <c r="C46" s="44">
        <v>0.2349</v>
      </c>
      <c r="D46" s="44">
        <v>3.7214</v>
      </c>
      <c r="E46" s="44">
        <v>5.508</v>
      </c>
      <c r="F46" s="44">
        <v>1.3420000000000001</v>
      </c>
      <c r="G46" s="44">
        <v>10.8063</v>
      </c>
      <c r="H46" s="44">
        <f t="shared" si="10"/>
        <v>2.1737319896726909E-2</v>
      </c>
      <c r="I46" s="44">
        <f t="shared" si="11"/>
        <v>0.34437318971340791</v>
      </c>
      <c r="J46" s="44">
        <f t="shared" si="12"/>
        <v>0.50970267344049303</v>
      </c>
      <c r="K46" s="44">
        <f t="shared" si="13"/>
        <v>0.12418681694937213</v>
      </c>
      <c r="L46" s="58">
        <v>0.40812043769962197</v>
      </c>
      <c r="M46" s="58">
        <v>1.9037120825536099E-2</v>
      </c>
      <c r="N46" s="65">
        <v>0.22</v>
      </c>
      <c r="O46" s="65">
        <v>28.834</v>
      </c>
      <c r="P46" s="65">
        <v>137.85605118438701</v>
      </c>
      <c r="Q46" s="65">
        <v>0.36611050961013503</v>
      </c>
      <c r="S46" s="3" t="s">
        <v>24</v>
      </c>
      <c r="T46">
        <v>3.8363684479387801</v>
      </c>
      <c r="U46">
        <v>0.40812043799999997</v>
      </c>
      <c r="V46">
        <v>-1.5402298541961099</v>
      </c>
      <c r="W46">
        <v>0.22</v>
      </c>
      <c r="X46">
        <v>28.834</v>
      </c>
      <c r="Y46">
        <v>137.8561</v>
      </c>
      <c r="Z46">
        <v>0.36609999999999998</v>
      </c>
      <c r="AJ46" s="3" t="s">
        <v>24</v>
      </c>
      <c r="AK46">
        <v>-0.99785999999999997</v>
      </c>
      <c r="AL46">
        <v>2.1309999999999999E-2</v>
      </c>
      <c r="AM46">
        <v>-2.1182699999999999</v>
      </c>
    </row>
    <row r="47" spans="1:45" x14ac:dyDescent="0.15">
      <c r="A47" t="s">
        <v>17</v>
      </c>
      <c r="B47" s="3" t="s">
        <v>24</v>
      </c>
      <c r="C47" s="44">
        <v>0.4173</v>
      </c>
      <c r="D47" s="44">
        <v>4.5359999999999996</v>
      </c>
      <c r="E47" s="44">
        <v>1.1462000000000001</v>
      </c>
      <c r="F47" s="44">
        <v>2.2435</v>
      </c>
      <c r="G47" s="44">
        <v>8.343</v>
      </c>
      <c r="H47" s="44">
        <f t="shared" si="10"/>
        <v>5.0017979144192738E-2</v>
      </c>
      <c r="I47" s="44">
        <f t="shared" si="11"/>
        <v>0.5436893203883495</v>
      </c>
      <c r="J47" s="44">
        <f t="shared" si="12"/>
        <v>0.13738463382476329</v>
      </c>
      <c r="K47" s="44">
        <f t="shared" si="13"/>
        <v>0.26890806664269445</v>
      </c>
      <c r="L47" s="58">
        <v>0.44595424640953701</v>
      </c>
      <c r="M47" s="58">
        <v>1.7262728884393799E-2</v>
      </c>
      <c r="N47" s="65">
        <v>0.16</v>
      </c>
      <c r="O47" s="65">
        <v>41.582000000000001</v>
      </c>
      <c r="P47" s="65">
        <v>167.780078098535</v>
      </c>
      <c r="Q47" s="65">
        <v>0.59370729953254198</v>
      </c>
      <c r="S47" s="3" t="s">
        <v>24</v>
      </c>
      <c r="T47">
        <v>3.2348992308336899</v>
      </c>
      <c r="U47">
        <v>0.445954246</v>
      </c>
      <c r="V47">
        <v>-1.54958516364052</v>
      </c>
      <c r="W47">
        <v>0.16</v>
      </c>
      <c r="X47">
        <v>41.582000000000001</v>
      </c>
      <c r="Y47">
        <v>167.7801</v>
      </c>
      <c r="Z47">
        <v>0.59370000000000001</v>
      </c>
      <c r="AJ47" s="3" t="s">
        <v>24</v>
      </c>
      <c r="AK47">
        <v>-1.6176299999999999</v>
      </c>
      <c r="AL47">
        <v>-0.92401999999999995</v>
      </c>
      <c r="AM47">
        <v>-0.71218999999999999</v>
      </c>
    </row>
    <row r="48" spans="1:45" x14ac:dyDescent="0.15">
      <c r="A48" t="s">
        <v>17</v>
      </c>
      <c r="B48" s="3" t="s">
        <v>24</v>
      </c>
      <c r="C48" s="44">
        <v>0.34860000000000002</v>
      </c>
      <c r="D48" s="44">
        <v>5.7149999999999999</v>
      </c>
      <c r="E48" s="44">
        <v>1.9194</v>
      </c>
      <c r="F48" s="44">
        <v>5.8838999999999997</v>
      </c>
      <c r="G48" s="44">
        <v>13.866899999999999</v>
      </c>
      <c r="H48" s="44">
        <f t="shared" si="10"/>
        <v>2.5139000064902758E-2</v>
      </c>
      <c r="I48" s="44">
        <f t="shared" si="11"/>
        <v>0.41213248815524739</v>
      </c>
      <c r="J48" s="44">
        <f t="shared" si="12"/>
        <v>0.13841594011639227</v>
      </c>
      <c r="K48" s="44">
        <f t="shared" si="13"/>
        <v>0.42431257166345759</v>
      </c>
      <c r="L48" s="58">
        <v>0.44281533018160302</v>
      </c>
      <c r="M48" s="58">
        <v>2.0938156967013601E-2</v>
      </c>
      <c r="N48" s="65">
        <v>0.26500000000000001</v>
      </c>
      <c r="O48" s="65">
        <v>63.317999999999998</v>
      </c>
      <c r="P48" s="65">
        <v>115.717734994423</v>
      </c>
      <c r="Q48" s="65">
        <v>0.43727148822015</v>
      </c>
      <c r="S48" s="3" t="s">
        <v>24</v>
      </c>
      <c r="T48">
        <v>4.4718662132167202</v>
      </c>
      <c r="U48">
        <v>0.44281533000000001</v>
      </c>
      <c r="V48">
        <v>-1.53059985171959</v>
      </c>
      <c r="W48">
        <v>0.26500000000000001</v>
      </c>
      <c r="X48">
        <v>63.317999999999998</v>
      </c>
      <c r="Y48">
        <v>115.71769999999999</v>
      </c>
      <c r="Z48">
        <v>0.43730000000000002</v>
      </c>
      <c r="AJ48" s="3" t="s">
        <v>24</v>
      </c>
      <c r="AK48">
        <v>0.38197999999999999</v>
      </c>
      <c r="AL48">
        <v>0.19672999999999999</v>
      </c>
      <c r="AM48">
        <v>-1.6263099999999999</v>
      </c>
    </row>
    <row r="49" spans="1:39" x14ac:dyDescent="0.15">
      <c r="A49" t="s">
        <v>17</v>
      </c>
      <c r="B49" s="3" t="s">
        <v>24</v>
      </c>
      <c r="C49" s="44">
        <v>0.1002</v>
      </c>
      <c r="D49" s="44">
        <v>9.5797000000000008</v>
      </c>
      <c r="E49" s="44">
        <v>4.1551999999999998</v>
      </c>
      <c r="F49" s="44">
        <v>7.9135</v>
      </c>
      <c r="G49" s="44">
        <v>21.7486</v>
      </c>
      <c r="H49" s="44">
        <f t="shared" si="10"/>
        <v>4.6071931066827294E-3</v>
      </c>
      <c r="I49" s="44">
        <f t="shared" si="11"/>
        <v>0.44047432938212117</v>
      </c>
      <c r="J49" s="44">
        <f t="shared" si="12"/>
        <v>0.19105597601684707</v>
      </c>
      <c r="K49" s="44">
        <f t="shared" si="13"/>
        <v>0.36386250149434907</v>
      </c>
      <c r="L49" s="58">
        <v>0.44547367700047003</v>
      </c>
      <c r="M49" s="58">
        <v>3.41716390975257E-2</v>
      </c>
      <c r="N49" s="65">
        <v>0.245</v>
      </c>
      <c r="O49" s="65">
        <v>129.76150000000001</v>
      </c>
      <c r="P49" s="65">
        <v>103.247046528398</v>
      </c>
      <c r="Q49" s="65">
        <v>0.445081522488804</v>
      </c>
      <c r="S49" s="3" t="s">
        <v>24</v>
      </c>
      <c r="T49">
        <v>5.7799073143998898</v>
      </c>
      <c r="U49">
        <v>0.44547367700000001</v>
      </c>
      <c r="V49">
        <v>-1.47159313568501</v>
      </c>
      <c r="W49">
        <v>0.245</v>
      </c>
      <c r="X49">
        <v>129.76150000000001</v>
      </c>
      <c r="Y49">
        <v>103.247</v>
      </c>
      <c r="Z49">
        <v>0.4451</v>
      </c>
      <c r="AJ49" s="3" t="s">
        <v>24</v>
      </c>
      <c r="AK49">
        <v>1.7677499999999999</v>
      </c>
      <c r="AL49">
        <v>2.0726900000000001</v>
      </c>
      <c r="AM49">
        <v>-0.46267999999999998</v>
      </c>
    </row>
    <row r="50" spans="1:39" x14ac:dyDescent="0.15">
      <c r="A50" t="s">
        <v>17</v>
      </c>
      <c r="B50" s="3" t="s">
        <v>24</v>
      </c>
      <c r="C50" s="44">
        <v>0.99929999999999997</v>
      </c>
      <c r="D50" s="44">
        <v>26.606000000000002</v>
      </c>
      <c r="E50" s="44">
        <v>6.1139000000000001</v>
      </c>
      <c r="F50" s="44">
        <v>13.4903</v>
      </c>
      <c r="G50" s="44">
        <v>47.209499999999998</v>
      </c>
      <c r="H50" s="44">
        <f t="shared" si="10"/>
        <v>2.1167349791885108E-2</v>
      </c>
      <c r="I50" s="44">
        <f t="shared" si="11"/>
        <v>0.56357300966966395</v>
      </c>
      <c r="J50" s="44">
        <f t="shared" si="12"/>
        <v>0.12950571389233101</v>
      </c>
      <c r="K50" s="44">
        <f t="shared" si="13"/>
        <v>0.28575392664611993</v>
      </c>
      <c r="L50" s="58">
        <v>0.39146263593033298</v>
      </c>
      <c r="M50" s="58">
        <v>3.2652040133477202E-2</v>
      </c>
      <c r="N50" s="65">
        <v>0.245</v>
      </c>
      <c r="O50" s="65">
        <v>164.63749999999999</v>
      </c>
      <c r="P50" s="65">
        <v>129.22934312442001</v>
      </c>
      <c r="Q50" s="65">
        <v>0.58474035946154901</v>
      </c>
      <c r="S50" s="3" t="s">
        <v>24</v>
      </c>
      <c r="T50">
        <v>8.6188340841232094</v>
      </c>
      <c r="U50">
        <v>0.39146263599999997</v>
      </c>
      <c r="V50">
        <v>-1.47781288463503</v>
      </c>
      <c r="W50">
        <v>0.245</v>
      </c>
      <c r="X50">
        <v>164.63749999999999</v>
      </c>
      <c r="Y50">
        <v>129.22929999999999</v>
      </c>
      <c r="Z50">
        <v>0.5847</v>
      </c>
      <c r="AJ50" s="3" t="s">
        <v>24</v>
      </c>
      <c r="AK50">
        <v>1.8265800000000001</v>
      </c>
      <c r="AL50">
        <v>2.23305</v>
      </c>
      <c r="AM50">
        <v>1.7503299999999999</v>
      </c>
    </row>
    <row r="51" spans="1:39" x14ac:dyDescent="0.15">
      <c r="H51" s="86"/>
      <c r="I51" s="86"/>
      <c r="J51" s="86"/>
      <c r="K51" s="86"/>
    </row>
    <row r="73" spans="21:35" x14ac:dyDescent="0.15">
      <c r="U73" s="1"/>
      <c r="V73" s="2"/>
      <c r="W73" s="2"/>
      <c r="X73" s="2"/>
      <c r="Y73" s="2"/>
      <c r="Z73" s="2"/>
    </row>
    <row r="74" spans="21:35" x14ac:dyDescent="0.15">
      <c r="AA74" s="2"/>
      <c r="AB74" s="1"/>
      <c r="AC74" s="2"/>
      <c r="AD74" s="1"/>
      <c r="AE74" s="3"/>
      <c r="AF74" s="3"/>
      <c r="AG74" s="1"/>
      <c r="AH74" s="1"/>
      <c r="AI74" s="2"/>
    </row>
    <row r="76" spans="21:35" ht="12.75" customHeight="1" x14ac:dyDescent="0.15"/>
  </sheetData>
  <conditionalFormatting sqref="AR25:AR45">
    <cfRule type="cellIs" dxfId="1" priority="2" operator="lessThan">
      <formula>0.05</formula>
    </cfRule>
  </conditionalFormatting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50"/>
  <sheetViews>
    <sheetView zoomScaleNormal="100" workbookViewId="0">
      <selection activeCell="G51" sqref="G51"/>
    </sheetView>
  </sheetViews>
  <sheetFormatPr defaultColWidth="8.76171875" defaultRowHeight="12.75" x14ac:dyDescent="0.15"/>
  <cols>
    <col min="1022" max="1024" width="11.59375" customWidth="1"/>
  </cols>
  <sheetData>
    <row r="1" spans="1:45" ht="24" x14ac:dyDescent="0.15">
      <c r="A1" t="s">
        <v>0</v>
      </c>
      <c r="B1" t="s">
        <v>32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S1" t="s">
        <v>32</v>
      </c>
      <c r="T1" t="s">
        <v>34</v>
      </c>
      <c r="U1" t="s">
        <v>107</v>
      </c>
      <c r="V1" t="s">
        <v>35</v>
      </c>
      <c r="W1" t="s">
        <v>13</v>
      </c>
      <c r="X1" t="s">
        <v>14</v>
      </c>
      <c r="Y1" t="s">
        <v>37</v>
      </c>
      <c r="Z1" t="s">
        <v>108</v>
      </c>
      <c r="AJ1" s="3" t="s">
        <v>32</v>
      </c>
      <c r="AK1" t="s">
        <v>38</v>
      </c>
      <c r="AL1" t="s">
        <v>39</v>
      </c>
      <c r="AN1" s="61"/>
      <c r="AO1" s="62" t="s">
        <v>40</v>
      </c>
      <c r="AP1" s="63"/>
      <c r="AQ1" s="63"/>
      <c r="AR1" s="63"/>
      <c r="AS1" s="64"/>
    </row>
    <row r="2" spans="1:45" x14ac:dyDescent="0.15">
      <c r="A2" t="s">
        <v>27</v>
      </c>
      <c r="B2" s="3" t="s">
        <v>18</v>
      </c>
      <c r="C2" s="4">
        <v>2.4007000000000001</v>
      </c>
      <c r="D2" s="4">
        <v>2.5137999999999998</v>
      </c>
      <c r="E2" s="4">
        <v>8.7144999999999992</v>
      </c>
      <c r="F2" s="4">
        <v>7.3966000000000003</v>
      </c>
      <c r="G2" s="4">
        <v>21.025600000000001</v>
      </c>
      <c r="H2" s="4">
        <v>0.114179856936306</v>
      </c>
      <c r="I2" s="4">
        <v>0.233738870709992</v>
      </c>
      <c r="J2" s="4">
        <v>0.41447093067498703</v>
      </c>
      <c r="K2" s="4">
        <v>0.35179019861502198</v>
      </c>
      <c r="L2" s="4">
        <v>0.26197591877283999</v>
      </c>
      <c r="M2" s="4">
        <v>4.7172434370104301E-2</v>
      </c>
      <c r="N2" s="4">
        <v>0.09</v>
      </c>
      <c r="O2" s="4">
        <v>237.17250000000001</v>
      </c>
      <c r="P2" s="4">
        <v>235.33094907743401</v>
      </c>
      <c r="Q2" s="4">
        <v>0.233738870709992</v>
      </c>
      <c r="S2" s="3" t="s">
        <v>18</v>
      </c>
      <c r="T2">
        <v>5.4281936804210202</v>
      </c>
      <c r="U2">
        <v>-3.5738237337680698</v>
      </c>
      <c r="V2">
        <v>-0.62090125696129295</v>
      </c>
      <c r="W2">
        <v>0.09</v>
      </c>
      <c r="X2">
        <v>237.17250000000001</v>
      </c>
      <c r="Y2">
        <v>5.2015335754469003</v>
      </c>
      <c r="Z2">
        <v>-1.7320701814010999</v>
      </c>
      <c r="AB2" t="s">
        <v>41</v>
      </c>
      <c r="AJ2" s="3" t="s">
        <v>18</v>
      </c>
      <c r="AK2">
        <v>-3.4238</v>
      </c>
      <c r="AL2">
        <v>0.24313000000000001</v>
      </c>
      <c r="AN2" s="66" t="s">
        <v>32</v>
      </c>
      <c r="AO2" s="67" t="s">
        <v>42</v>
      </c>
      <c r="AP2" s="68" t="s">
        <v>97</v>
      </c>
      <c r="AQ2" s="68" t="s">
        <v>43</v>
      </c>
      <c r="AR2" s="68" t="s">
        <v>98</v>
      </c>
      <c r="AS2" s="69" t="s">
        <v>101</v>
      </c>
    </row>
    <row r="3" spans="1:45" x14ac:dyDescent="0.15">
      <c r="A3" t="s">
        <v>27</v>
      </c>
      <c r="B3" s="3" t="s">
        <v>18</v>
      </c>
      <c r="C3" s="4">
        <v>6.7001999999999997</v>
      </c>
      <c r="D3" s="4">
        <v>3.3658999999999999</v>
      </c>
      <c r="E3" s="4">
        <v>7.4741</v>
      </c>
      <c r="F3" s="4">
        <v>8.8008000000000006</v>
      </c>
      <c r="G3" s="4">
        <v>26.341000000000001</v>
      </c>
      <c r="H3" s="4">
        <v>0.25436391936524799</v>
      </c>
      <c r="I3" s="4">
        <v>0.38214570441516998</v>
      </c>
      <c r="J3" s="4">
        <v>0.28374397327360401</v>
      </c>
      <c r="K3" s="4">
        <v>0.334110322311226</v>
      </c>
      <c r="L3" s="4">
        <v>0.28769400015812002</v>
      </c>
      <c r="M3" s="4">
        <v>3.7132491419999303E-2</v>
      </c>
      <c r="N3" s="4">
        <v>0.1</v>
      </c>
      <c r="O3" s="4">
        <v>237.74449999999999</v>
      </c>
      <c r="P3" s="4">
        <v>194.226723919732</v>
      </c>
      <c r="Q3" s="4">
        <v>0.38214570441516998</v>
      </c>
      <c r="S3" s="3" t="s">
        <v>18</v>
      </c>
      <c r="T3">
        <v>6.10670473434004</v>
      </c>
      <c r="U3">
        <v>-3.08065432347798</v>
      </c>
      <c r="V3">
        <v>-0.62241916731580504</v>
      </c>
      <c r="W3">
        <v>0.1</v>
      </c>
      <c r="X3">
        <v>237.74449999999999</v>
      </c>
      <c r="Y3">
        <v>5.0272140417948599</v>
      </c>
      <c r="Z3">
        <v>-1.07917621668949</v>
      </c>
      <c r="AC3" t="s">
        <v>45</v>
      </c>
      <c r="AD3" t="s">
        <v>46</v>
      </c>
      <c r="AE3" t="s">
        <v>46</v>
      </c>
      <c r="AF3" t="s">
        <v>47</v>
      </c>
      <c r="AG3" t="s">
        <v>48</v>
      </c>
      <c r="AH3" t="s">
        <v>49</v>
      </c>
      <c r="AJ3" s="3" t="s">
        <v>18</v>
      </c>
      <c r="AK3">
        <v>-1.9530099999999999</v>
      </c>
      <c r="AL3">
        <v>-0.33215</v>
      </c>
      <c r="AN3" s="70" t="s">
        <v>24</v>
      </c>
      <c r="AO3" s="71">
        <v>2.1758999999999999</v>
      </c>
      <c r="AP3" s="72">
        <v>0.43054475357775901</v>
      </c>
      <c r="AQ3" s="72">
        <v>-2.0809185714285698</v>
      </c>
      <c r="AR3" s="72">
        <v>1.1558892898461099</v>
      </c>
      <c r="AS3" s="73">
        <v>7</v>
      </c>
    </row>
    <row r="4" spans="1:45" x14ac:dyDescent="0.15">
      <c r="A4" t="s">
        <v>27</v>
      </c>
      <c r="B4" s="3" t="s">
        <v>18</v>
      </c>
      <c r="C4" s="4">
        <v>3.5644</v>
      </c>
      <c r="D4" s="4">
        <v>4.9782000000000002</v>
      </c>
      <c r="E4" s="4">
        <v>10.3819</v>
      </c>
      <c r="F4" s="4">
        <v>9.2995000000000001</v>
      </c>
      <c r="G4" s="4">
        <v>28.224</v>
      </c>
      <c r="H4" s="4">
        <v>0.12628968253968301</v>
      </c>
      <c r="I4" s="4">
        <v>0.30267148526077098</v>
      </c>
      <c r="J4" s="4">
        <v>0.36783942743764197</v>
      </c>
      <c r="K4" s="4">
        <v>0.32948908730158699</v>
      </c>
      <c r="L4" s="4">
        <v>0.26343317358331098</v>
      </c>
      <c r="M4" s="4">
        <v>3.8177729812706701E-2</v>
      </c>
      <c r="N4" s="4">
        <v>0.14499999999999999</v>
      </c>
      <c r="O4" s="4">
        <v>215.22149999999999</v>
      </c>
      <c r="P4" s="4">
        <v>213.569782577956</v>
      </c>
      <c r="Q4" s="4">
        <v>0.30267148526077098</v>
      </c>
      <c r="S4" s="3" t="s">
        <v>18</v>
      </c>
      <c r="T4">
        <v>6.3254664771115401</v>
      </c>
      <c r="U4">
        <v>-3.5441152540601899</v>
      </c>
      <c r="V4">
        <v>-0.622264561283979</v>
      </c>
      <c r="W4">
        <v>0.14499999999999999</v>
      </c>
      <c r="X4">
        <v>215.22149999999999</v>
      </c>
      <c r="Y4">
        <v>5.1134994957882398</v>
      </c>
      <c r="Z4">
        <v>-1.3791498575010701</v>
      </c>
      <c r="AB4" t="s">
        <v>50</v>
      </c>
      <c r="AC4" t="s">
        <v>51</v>
      </c>
      <c r="AD4" t="s">
        <v>52</v>
      </c>
      <c r="AE4" t="s">
        <v>53</v>
      </c>
      <c r="AF4" t="s">
        <v>54</v>
      </c>
      <c r="AG4" t="s">
        <v>55</v>
      </c>
      <c r="AH4" t="s">
        <v>56</v>
      </c>
      <c r="AJ4" s="3" t="s">
        <v>18</v>
      </c>
      <c r="AK4">
        <v>-2.1265499999999999</v>
      </c>
      <c r="AL4">
        <v>-0.31762000000000001</v>
      </c>
      <c r="AN4" s="74" t="s">
        <v>22</v>
      </c>
      <c r="AO4" s="75">
        <v>0.93084999999999996</v>
      </c>
      <c r="AP4" s="76">
        <v>0.70497068390583895</v>
      </c>
      <c r="AQ4" s="76">
        <v>1.70190857142857</v>
      </c>
      <c r="AR4" s="76">
        <v>1.1271909886591001</v>
      </c>
      <c r="AS4" s="77">
        <v>7</v>
      </c>
    </row>
    <row r="5" spans="1:45" x14ac:dyDescent="0.15">
      <c r="A5" t="s">
        <v>27</v>
      </c>
      <c r="B5" s="3" t="s">
        <v>18</v>
      </c>
      <c r="C5" s="4">
        <v>5.8704000000000001</v>
      </c>
      <c r="D5" s="4">
        <v>5.7497999999999996</v>
      </c>
      <c r="E5" s="4">
        <v>10.915699999999999</v>
      </c>
      <c r="F5" s="4">
        <v>10.5961</v>
      </c>
      <c r="G5" s="4">
        <v>33.131999999999998</v>
      </c>
      <c r="H5" s="4">
        <v>0.17718218036943101</v>
      </c>
      <c r="I5" s="4">
        <v>0.35072437522636701</v>
      </c>
      <c r="J5" s="4">
        <v>0.32946094410237797</v>
      </c>
      <c r="K5" s="4">
        <v>0.31981468067125401</v>
      </c>
      <c r="L5" s="4">
        <v>0.26677984332893501</v>
      </c>
      <c r="M5" s="4">
        <v>3.8208635775908703E-2</v>
      </c>
      <c r="N5" s="4">
        <v>0.12</v>
      </c>
      <c r="O5" s="4">
        <v>176.36449999999999</v>
      </c>
      <c r="P5" s="4">
        <v>177.570769669893</v>
      </c>
      <c r="Q5" s="4">
        <v>0.35072437522636701</v>
      </c>
      <c r="S5" s="3" t="s">
        <v>18</v>
      </c>
      <c r="T5">
        <v>6.8542291690263104</v>
      </c>
      <c r="U5">
        <v>-3.4734471602735799</v>
      </c>
      <c r="V5">
        <v>-0.622264561283979</v>
      </c>
      <c r="W5">
        <v>0.12</v>
      </c>
      <c r="X5">
        <v>176.36449999999999</v>
      </c>
      <c r="Y5">
        <v>4.9455930488564501</v>
      </c>
      <c r="Z5">
        <v>-1.1877040550181499</v>
      </c>
      <c r="AB5" t="s">
        <v>57</v>
      </c>
      <c r="AC5">
        <v>6</v>
      </c>
      <c r="AD5">
        <v>234.85</v>
      </c>
      <c r="AE5">
        <v>39.142000000000003</v>
      </c>
      <c r="AF5">
        <v>16.253</v>
      </c>
      <c r="AG5">
        <v>1E-4</v>
      </c>
      <c r="AH5">
        <v>9920</v>
      </c>
      <c r="AJ5" s="3" t="s">
        <v>18</v>
      </c>
      <c r="AK5">
        <v>-1.6086499999999999</v>
      </c>
      <c r="AL5">
        <v>-0.20621999999999999</v>
      </c>
      <c r="AN5" s="74" t="s">
        <v>21</v>
      </c>
      <c r="AO5" s="75">
        <v>1.17833571428571</v>
      </c>
      <c r="AP5" s="76">
        <v>0.61680451575998096</v>
      </c>
      <c r="AQ5" s="76">
        <v>0.48893142857142902</v>
      </c>
      <c r="AR5" s="76">
        <v>1.27191754732017</v>
      </c>
      <c r="AS5" s="77">
        <v>7</v>
      </c>
    </row>
    <row r="6" spans="1:45" x14ac:dyDescent="0.15">
      <c r="A6" t="s">
        <v>27</v>
      </c>
      <c r="B6" s="3" t="s">
        <v>18</v>
      </c>
      <c r="C6" s="4">
        <v>4.9482999999999997</v>
      </c>
      <c r="D6" s="4">
        <v>3.6131000000000002</v>
      </c>
      <c r="E6" s="4">
        <v>6.2176999999999998</v>
      </c>
      <c r="F6" s="4">
        <v>8.0846</v>
      </c>
      <c r="G6" s="4">
        <v>22.863700000000001</v>
      </c>
      <c r="H6" s="4">
        <v>0.216426037780412</v>
      </c>
      <c r="I6" s="4">
        <v>0.37445382855793202</v>
      </c>
      <c r="J6" s="4">
        <v>0.27194636038786402</v>
      </c>
      <c r="K6" s="4">
        <v>0.35359981105420402</v>
      </c>
      <c r="L6" s="4">
        <v>0.25492066200869101</v>
      </c>
      <c r="M6" s="4">
        <v>4.1609004410546699E-2</v>
      </c>
      <c r="N6" s="4">
        <v>0.1</v>
      </c>
      <c r="O6" s="4">
        <v>163.24449999999999</v>
      </c>
      <c r="P6" s="4">
        <v>215.13930048413599</v>
      </c>
      <c r="Q6" s="4">
        <v>0.37445382855793202</v>
      </c>
      <c r="S6" s="3" t="s">
        <v>18</v>
      </c>
      <c r="T6">
        <v>5.6742891354973501</v>
      </c>
      <c r="U6">
        <v>-3.7302457680272401</v>
      </c>
      <c r="V6">
        <v>-0.62176983220244297</v>
      </c>
      <c r="W6">
        <v>0.1</v>
      </c>
      <c r="X6">
        <v>163.24449999999999</v>
      </c>
      <c r="Y6">
        <v>5.1201480981715104</v>
      </c>
      <c r="Z6">
        <v>-1.1044077773318901</v>
      </c>
      <c r="AB6" t="s">
        <v>58</v>
      </c>
      <c r="AC6">
        <v>42</v>
      </c>
      <c r="AD6">
        <v>101.15</v>
      </c>
      <c r="AE6">
        <v>2.4083000000000001</v>
      </c>
      <c r="AF6" t="s">
        <v>47</v>
      </c>
      <c r="AG6" t="s">
        <v>48</v>
      </c>
      <c r="AH6" t="s">
        <v>46</v>
      </c>
      <c r="AJ6" s="3" t="s">
        <v>18</v>
      </c>
      <c r="AK6">
        <v>-2.0872299999999999</v>
      </c>
      <c r="AL6">
        <v>-0.56357000000000002</v>
      </c>
      <c r="AN6" s="74" t="s">
        <v>23</v>
      </c>
      <c r="AO6" s="75">
        <v>1.4151628571428601</v>
      </c>
      <c r="AP6" s="76">
        <v>0.78978580101852702</v>
      </c>
      <c r="AQ6" s="76">
        <v>1.2752314285714299</v>
      </c>
      <c r="AR6" s="76">
        <v>0.443988315815802</v>
      </c>
      <c r="AS6" s="77">
        <v>7</v>
      </c>
    </row>
    <row r="7" spans="1:45" x14ac:dyDescent="0.15">
      <c r="A7" t="s">
        <v>27</v>
      </c>
      <c r="B7" s="3" t="s">
        <v>18</v>
      </c>
      <c r="C7" s="4">
        <v>3.9977999999999998</v>
      </c>
      <c r="D7" s="4">
        <v>3.0247999999999999</v>
      </c>
      <c r="E7" s="4">
        <v>6.4518000000000004</v>
      </c>
      <c r="F7" s="4">
        <v>7.0625999999999998</v>
      </c>
      <c r="G7" s="4">
        <v>20.536999999999999</v>
      </c>
      <c r="H7" s="4">
        <v>0.19466329064615101</v>
      </c>
      <c r="I7" s="4">
        <v>0.34194867799581202</v>
      </c>
      <c r="J7" s="4">
        <v>0.314154939864635</v>
      </c>
      <c r="K7" s="4">
        <v>0.34389638213955298</v>
      </c>
      <c r="L7" s="4">
        <v>0.28170683296510801</v>
      </c>
      <c r="M7" s="4">
        <v>4.20764248622034E-2</v>
      </c>
      <c r="N7" s="4">
        <v>0.13</v>
      </c>
      <c r="O7" s="4">
        <v>159.9075</v>
      </c>
      <c r="P7" s="4">
        <v>197.77014343473201</v>
      </c>
      <c r="Q7" s="4">
        <v>0.34194867799581202</v>
      </c>
      <c r="S7" s="3" t="s">
        <v>18</v>
      </c>
      <c r="T7">
        <v>5.3604348993736597</v>
      </c>
      <c r="U7">
        <v>-3.1866133874167599</v>
      </c>
      <c r="V7">
        <v>-0.62169496554744197</v>
      </c>
      <c r="W7">
        <v>0.13</v>
      </c>
      <c r="X7">
        <v>159.9075</v>
      </c>
      <c r="Y7">
        <v>5.04365694118255</v>
      </c>
      <c r="Z7">
        <v>-1.2202881405018899</v>
      </c>
      <c r="AB7" t="s">
        <v>59</v>
      </c>
      <c r="AC7">
        <v>48</v>
      </c>
      <c r="AD7">
        <v>336</v>
      </c>
      <c r="AE7" t="s">
        <v>46</v>
      </c>
      <c r="AF7" t="s">
        <v>47</v>
      </c>
      <c r="AG7" t="s">
        <v>48</v>
      </c>
      <c r="AH7" t="s">
        <v>46</v>
      </c>
      <c r="AJ7" s="3" t="s">
        <v>18</v>
      </c>
      <c r="AK7">
        <v>-1.4748399999999999</v>
      </c>
      <c r="AL7">
        <v>-0.37736999999999998</v>
      </c>
      <c r="AN7" s="74" t="s">
        <v>19</v>
      </c>
      <c r="AO7" s="75">
        <v>-1.08865428571429</v>
      </c>
      <c r="AP7" s="76">
        <v>0.82454083838334202</v>
      </c>
      <c r="AQ7" s="76">
        <v>-1.2293028571428599</v>
      </c>
      <c r="AR7" s="76">
        <v>0.58847657157313904</v>
      </c>
      <c r="AS7" s="77">
        <v>7</v>
      </c>
    </row>
    <row r="8" spans="1:45" x14ac:dyDescent="0.15">
      <c r="A8" t="s">
        <v>27</v>
      </c>
      <c r="B8" s="3" t="s">
        <v>18</v>
      </c>
      <c r="C8" s="4">
        <v>2.1368999999999998</v>
      </c>
      <c r="D8" s="4">
        <v>2.4933000000000001</v>
      </c>
      <c r="E8" s="4">
        <v>6.0289000000000001</v>
      </c>
      <c r="F8" s="4">
        <v>8.3731000000000009</v>
      </c>
      <c r="G8" s="4">
        <v>19.0322</v>
      </c>
      <c r="H8" s="4">
        <v>0.112278139153645</v>
      </c>
      <c r="I8" s="4">
        <v>0.24328243713285899</v>
      </c>
      <c r="J8" s="4">
        <v>0.31677367829257802</v>
      </c>
      <c r="K8" s="4">
        <v>0.43994388457456302</v>
      </c>
      <c r="L8" s="4">
        <v>0.284188497767558</v>
      </c>
      <c r="M8" s="4">
        <v>4.6294116391828899E-2</v>
      </c>
      <c r="N8" s="4">
        <v>0.13500000000000001</v>
      </c>
      <c r="O8" s="4">
        <v>157.18600000000001</v>
      </c>
      <c r="P8" s="4">
        <v>169.68860082514101</v>
      </c>
      <c r="Q8" s="4">
        <v>0.24328243713285899</v>
      </c>
      <c r="S8" s="3" t="s">
        <v>18</v>
      </c>
      <c r="T8">
        <v>5.1449128143178404</v>
      </c>
      <c r="U8">
        <v>-3.1418423845969699</v>
      </c>
      <c r="V8">
        <v>-0.62104524662966198</v>
      </c>
      <c r="W8">
        <v>0.13500000000000001</v>
      </c>
      <c r="X8">
        <v>157.18600000000001</v>
      </c>
      <c r="Y8">
        <v>4.9042078915485101</v>
      </c>
      <c r="Z8">
        <v>-1.67573651737623</v>
      </c>
      <c r="AJ8" s="3" t="s">
        <v>18</v>
      </c>
      <c r="AK8">
        <v>-1.7233799999999999</v>
      </c>
      <c r="AL8">
        <v>0.24154999999999999</v>
      </c>
      <c r="AN8" s="74" t="s">
        <v>18</v>
      </c>
      <c r="AO8" s="75">
        <v>-2.0567799999999998</v>
      </c>
      <c r="AP8" s="76">
        <v>0.65012013879487396</v>
      </c>
      <c r="AQ8" s="76">
        <v>-0.187464285714286</v>
      </c>
      <c r="AR8" s="76">
        <v>0.31230610720131302</v>
      </c>
      <c r="AS8" s="77">
        <v>7</v>
      </c>
    </row>
    <row r="9" spans="1:45" x14ac:dyDescent="0.15">
      <c r="A9" t="s">
        <v>27</v>
      </c>
      <c r="B9" s="3" t="s">
        <v>19</v>
      </c>
      <c r="C9" s="4">
        <v>1.8815999999999999</v>
      </c>
      <c r="D9" s="4">
        <v>0.86180000000000001</v>
      </c>
      <c r="E9" s="4">
        <v>1.9129</v>
      </c>
      <c r="F9" s="4">
        <v>2.8872</v>
      </c>
      <c r="G9" s="4">
        <v>7.5434999999999999</v>
      </c>
      <c r="H9" s="4">
        <v>0.24943328693577199</v>
      </c>
      <c r="I9" s="4">
        <v>0.363677338105654</v>
      </c>
      <c r="J9" s="4">
        <v>0.25358255451713402</v>
      </c>
      <c r="K9" s="4">
        <v>0.38274010737721198</v>
      </c>
      <c r="L9" s="4">
        <v>0.31297417606126599</v>
      </c>
      <c r="M9" s="4">
        <v>2.62551489394687E-2</v>
      </c>
      <c r="N9" s="4">
        <v>0.185</v>
      </c>
      <c r="O9" s="4">
        <v>84.016000000000005</v>
      </c>
      <c r="P9" s="4">
        <v>199.14085907834499</v>
      </c>
      <c r="Q9" s="4">
        <v>0.363677338105654</v>
      </c>
      <c r="S9" s="3" t="s">
        <v>19</v>
      </c>
      <c r="T9">
        <v>2.9344445181368801</v>
      </c>
      <c r="U9">
        <v>-2.6844679192413201</v>
      </c>
      <c r="V9">
        <v>-0.62378706925184002</v>
      </c>
      <c r="W9">
        <v>0.185</v>
      </c>
      <c r="X9">
        <v>84.016000000000005</v>
      </c>
      <c r="Y9">
        <v>5.0499377282928499</v>
      </c>
      <c r="Z9">
        <v>-1.1413714591911199</v>
      </c>
      <c r="AJ9" s="3" t="s">
        <v>19</v>
      </c>
      <c r="AK9">
        <v>0.10657999999999999</v>
      </c>
      <c r="AL9">
        <v>-2.1667399999999999</v>
      </c>
      <c r="AN9" s="74" t="s">
        <v>20</v>
      </c>
      <c r="AO9" s="78">
        <v>-2.5548157142857102</v>
      </c>
      <c r="AP9" s="79">
        <v>0.94221763414576198</v>
      </c>
      <c r="AQ9" s="79">
        <v>3.1617142857142802E-2</v>
      </c>
      <c r="AR9" s="79">
        <v>0.60636575281794702</v>
      </c>
      <c r="AS9" s="80">
        <v>7</v>
      </c>
    </row>
    <row r="10" spans="1:45" x14ac:dyDescent="0.15">
      <c r="A10" t="s">
        <v>27</v>
      </c>
      <c r="B10" s="3" t="s">
        <v>19</v>
      </c>
      <c r="C10" s="4">
        <v>2.6301000000000001</v>
      </c>
      <c r="D10" s="4">
        <v>1.9558</v>
      </c>
      <c r="E10" s="4">
        <v>3.4820000000000002</v>
      </c>
      <c r="F10" s="4">
        <v>4.13</v>
      </c>
      <c r="G10" s="4">
        <v>12.197900000000001</v>
      </c>
      <c r="H10" s="4">
        <v>0.21561908197312701</v>
      </c>
      <c r="I10" s="4">
        <v>0.37595815673189598</v>
      </c>
      <c r="J10" s="4">
        <v>0.28545897244607699</v>
      </c>
      <c r="K10" s="4">
        <v>0.33858287082202698</v>
      </c>
      <c r="L10" s="4">
        <v>0.25835523118044601</v>
      </c>
      <c r="M10" s="4">
        <v>3.0209118441765302E-2</v>
      </c>
      <c r="N10" s="4">
        <v>0.17499999999999999</v>
      </c>
      <c r="O10" s="4">
        <v>144.52199999999999</v>
      </c>
      <c r="P10" s="4">
        <v>233.56038419633299</v>
      </c>
      <c r="Q10" s="4">
        <v>0.37595815673189598</v>
      </c>
      <c r="S10" s="3" t="s">
        <v>19</v>
      </c>
      <c r="T10">
        <v>3.9932613398531398</v>
      </c>
      <c r="U10">
        <v>-3.6519087460250601</v>
      </c>
      <c r="V10">
        <v>-0.62332556094964497</v>
      </c>
      <c r="W10">
        <v>0.17499999999999999</v>
      </c>
      <c r="X10">
        <v>144.52199999999999</v>
      </c>
      <c r="Y10">
        <v>5.1946872701786599</v>
      </c>
      <c r="Z10">
        <v>-1.0993780774741799</v>
      </c>
      <c r="AB10" t="s">
        <v>92</v>
      </c>
      <c r="AJ10" s="3" t="s">
        <v>19</v>
      </c>
      <c r="AK10">
        <v>-1.1962900000000001</v>
      </c>
      <c r="AL10">
        <v>-1.8365899999999999</v>
      </c>
      <c r="AN10" s="81" t="s">
        <v>60</v>
      </c>
      <c r="AO10" s="82">
        <v>-2.0408163269970999E-7</v>
      </c>
      <c r="AP10" s="83">
        <v>1.8741921097441001</v>
      </c>
      <c r="AQ10" s="83">
        <v>4.0816326528160998E-7</v>
      </c>
      <c r="AR10" s="83">
        <v>1.48515947662611</v>
      </c>
      <c r="AS10" s="84">
        <v>49</v>
      </c>
    </row>
    <row r="11" spans="1:45" x14ac:dyDescent="0.15">
      <c r="A11" t="s">
        <v>27</v>
      </c>
      <c r="B11" s="3" t="s">
        <v>19</v>
      </c>
      <c r="C11" s="4">
        <v>2.9260999999999999</v>
      </c>
      <c r="D11" s="4">
        <v>4.1336000000000004</v>
      </c>
      <c r="E11" s="4">
        <v>8.5185999999999993</v>
      </c>
      <c r="F11" s="4">
        <v>8.3739000000000008</v>
      </c>
      <c r="G11" s="4">
        <v>23.952200000000001</v>
      </c>
      <c r="H11" s="4">
        <v>0.12216414358597499</v>
      </c>
      <c r="I11" s="4">
        <v>0.29474119287581102</v>
      </c>
      <c r="J11" s="4">
        <v>0.355650002922487</v>
      </c>
      <c r="K11" s="4">
        <v>0.34960880420170198</v>
      </c>
      <c r="L11" s="4">
        <v>0.28855850946155198</v>
      </c>
      <c r="M11" s="4">
        <v>3.72158420059144E-2</v>
      </c>
      <c r="N11" s="4">
        <v>0.17499999999999999</v>
      </c>
      <c r="O11" s="4">
        <v>98.748500000000007</v>
      </c>
      <c r="P11" s="4">
        <v>203.35326101401299</v>
      </c>
      <c r="Q11" s="4">
        <v>0.29474119287581102</v>
      </c>
      <c r="S11" s="3" t="s">
        <v>19</v>
      </c>
      <c r="T11">
        <v>5.8139946838779499</v>
      </c>
      <c r="U11">
        <v>-3.06519411947319</v>
      </c>
      <c r="V11">
        <v>-0.62240522408462295</v>
      </c>
      <c r="W11">
        <v>0.17499999999999999</v>
      </c>
      <c r="X11">
        <v>98.748500000000007</v>
      </c>
      <c r="Y11">
        <v>5.0689664039352103</v>
      </c>
      <c r="Z11">
        <v>-1.4147035683679701</v>
      </c>
      <c r="AJ11" s="3" t="s">
        <v>19</v>
      </c>
      <c r="AK11">
        <v>-0.73182000000000003</v>
      </c>
      <c r="AL11">
        <v>-0.74080999999999997</v>
      </c>
    </row>
    <row r="12" spans="1:45" x14ac:dyDescent="0.15">
      <c r="A12" t="s">
        <v>27</v>
      </c>
      <c r="B12" s="3" t="s">
        <v>19</v>
      </c>
      <c r="C12" s="4">
        <v>2.0789</v>
      </c>
      <c r="D12" s="4">
        <v>2.4144999999999999</v>
      </c>
      <c r="E12" s="4">
        <v>4.9109999999999996</v>
      </c>
      <c r="F12" s="4">
        <v>4.6874000000000002</v>
      </c>
      <c r="G12" s="4">
        <v>14.091799999999999</v>
      </c>
      <c r="H12" s="4">
        <v>0.14752551129025401</v>
      </c>
      <c r="I12" s="4">
        <v>0.31886629103450198</v>
      </c>
      <c r="J12" s="4">
        <v>0.34850054641706502</v>
      </c>
      <c r="K12" s="4">
        <v>0.332633162548432</v>
      </c>
      <c r="L12" s="4">
        <v>0.26085921177027999</v>
      </c>
      <c r="M12" s="4">
        <v>3.23533313265627E-2</v>
      </c>
      <c r="N12" s="4">
        <v>0.14000000000000001</v>
      </c>
      <c r="O12" s="4">
        <v>162.821</v>
      </c>
      <c r="P12" s="4">
        <v>224.27730646900301</v>
      </c>
      <c r="Q12" s="4">
        <v>0.31886629103450198</v>
      </c>
      <c r="S12" s="3" t="s">
        <v>19</v>
      </c>
      <c r="T12">
        <v>4.3474929939524403</v>
      </c>
      <c r="U12">
        <v>-3.5974218643453701</v>
      </c>
      <c r="V12">
        <v>-0.62304871368678205</v>
      </c>
      <c r="W12">
        <v>0.14000000000000001</v>
      </c>
      <c r="X12">
        <v>162.821</v>
      </c>
      <c r="Y12">
        <v>5.1579032472040396</v>
      </c>
      <c r="Z12">
        <v>-1.3105817846980501</v>
      </c>
      <c r="AB12" t="s">
        <v>93</v>
      </c>
      <c r="AJ12" s="3" t="s">
        <v>19</v>
      </c>
      <c r="AK12">
        <v>-1.78823</v>
      </c>
      <c r="AL12">
        <v>-1.4279200000000001</v>
      </c>
    </row>
    <row r="13" spans="1:45" x14ac:dyDescent="0.15">
      <c r="A13" t="s">
        <v>27</v>
      </c>
      <c r="B13" s="3" t="s">
        <v>19</v>
      </c>
      <c r="C13" s="4">
        <v>3.9161000000000001</v>
      </c>
      <c r="D13" s="4">
        <v>2.0411999999999999</v>
      </c>
      <c r="E13" s="4">
        <v>5.6585999999999999</v>
      </c>
      <c r="F13" s="4">
        <v>6.6816000000000004</v>
      </c>
      <c r="G13" s="4">
        <v>18.297499999999999</v>
      </c>
      <c r="H13" s="4">
        <v>0.21402377373958201</v>
      </c>
      <c r="I13" s="4">
        <v>0.32557999726738601</v>
      </c>
      <c r="J13" s="4">
        <v>0.30925536275447502</v>
      </c>
      <c r="K13" s="4">
        <v>0.36516463997813903</v>
      </c>
      <c r="L13" s="4">
        <v>0.26123595931465898</v>
      </c>
      <c r="M13" s="4">
        <v>4.0003383853305999E-2</v>
      </c>
      <c r="N13" s="4">
        <v>0.16</v>
      </c>
      <c r="O13" s="4">
        <v>158.03800000000001</v>
      </c>
      <c r="P13" s="4">
        <v>263.80282360150699</v>
      </c>
      <c r="Q13" s="4">
        <v>0.32557999726738601</v>
      </c>
      <c r="S13" s="3" t="s">
        <v>19</v>
      </c>
      <c r="T13">
        <v>5.0356389261748102</v>
      </c>
      <c r="U13">
        <v>-3.5909634843019802</v>
      </c>
      <c r="V13">
        <v>-0.62200578742235502</v>
      </c>
      <c r="W13">
        <v>0.16</v>
      </c>
      <c r="X13">
        <v>158.03800000000001</v>
      </c>
      <c r="Y13">
        <v>5.3049588167138397</v>
      </c>
      <c r="Z13">
        <v>-1.28346905812342</v>
      </c>
      <c r="AJ13" s="3" t="s">
        <v>19</v>
      </c>
      <c r="AK13">
        <v>-1.84694</v>
      </c>
      <c r="AL13">
        <v>-0.94369999999999998</v>
      </c>
      <c r="AO13" t="s">
        <v>38</v>
      </c>
      <c r="AP13" t="s">
        <v>71</v>
      </c>
      <c r="AQ13" t="s">
        <v>39</v>
      </c>
      <c r="AR13" t="s">
        <v>72</v>
      </c>
    </row>
    <row r="14" spans="1:45" x14ac:dyDescent="0.15">
      <c r="A14" t="s">
        <v>27</v>
      </c>
      <c r="B14" s="3" t="s">
        <v>19</v>
      </c>
      <c r="C14" s="4">
        <v>1.1056999999999999</v>
      </c>
      <c r="D14" s="4">
        <v>1.3449</v>
      </c>
      <c r="E14" s="4">
        <v>4.3982999999999999</v>
      </c>
      <c r="F14" s="4">
        <v>5.3178000000000001</v>
      </c>
      <c r="G14" s="4">
        <v>12.166700000000001</v>
      </c>
      <c r="H14" s="4">
        <v>9.0879203070676498E-2</v>
      </c>
      <c r="I14" s="4">
        <v>0.20141862625033899</v>
      </c>
      <c r="J14" s="4">
        <v>0.36150311916953598</v>
      </c>
      <c r="K14" s="4">
        <v>0.437078254580124</v>
      </c>
      <c r="L14" s="4">
        <v>0.28945408630552</v>
      </c>
      <c r="M14" s="4">
        <v>3.8915117164807098E-2</v>
      </c>
      <c r="N14" s="4">
        <v>0.12</v>
      </c>
      <c r="O14" s="4">
        <v>118.7655</v>
      </c>
      <c r="P14" s="4">
        <v>201.84047150805901</v>
      </c>
      <c r="Q14" s="4">
        <v>0.20141862625033899</v>
      </c>
      <c r="S14" s="3" t="s">
        <v>19</v>
      </c>
      <c r="T14">
        <v>3.9871352219423901</v>
      </c>
      <c r="U14">
        <v>-3.04984370798838</v>
      </c>
      <c r="V14">
        <v>-0.62216477460368003</v>
      </c>
      <c r="W14">
        <v>0.12</v>
      </c>
      <c r="X14">
        <v>118.7655</v>
      </c>
      <c r="Y14">
        <v>5.0621791997679102</v>
      </c>
      <c r="Z14">
        <v>-1.94488863789489</v>
      </c>
      <c r="AJ14" s="3" t="s">
        <v>19</v>
      </c>
      <c r="AK14">
        <v>-1.93259</v>
      </c>
      <c r="AL14">
        <v>-0.76566000000000001</v>
      </c>
      <c r="AN14" s="36" t="s">
        <v>24</v>
      </c>
      <c r="AO14" s="37">
        <f t="shared" ref="AO14:AO20" si="0">AO3</f>
        <v>2.1758999999999999</v>
      </c>
      <c r="AP14">
        <f t="shared" ref="AP14:AP20" si="1">AP3/SQRT(AS3)</f>
        <v>0.16273062089290527</v>
      </c>
      <c r="AQ14" s="38">
        <f t="shared" ref="AQ14:AQ20" si="2">AQ3</f>
        <v>-2.0809185714285698</v>
      </c>
      <c r="AR14">
        <f t="shared" ref="AR14:AR20" si="3">AR3/SQRT(AS3)</f>
        <v>0.43688508629369482</v>
      </c>
    </row>
    <row r="15" spans="1:45" x14ac:dyDescent="0.15">
      <c r="A15" t="s">
        <v>27</v>
      </c>
      <c r="B15" s="3" t="s">
        <v>19</v>
      </c>
      <c r="C15" s="4">
        <v>3.2521</v>
      </c>
      <c r="D15" s="4">
        <v>3.1686000000000001</v>
      </c>
      <c r="E15" s="4">
        <v>6.8609999999999998</v>
      </c>
      <c r="F15" s="4">
        <v>8.9375999999999998</v>
      </c>
      <c r="G15" s="4">
        <v>22.2193</v>
      </c>
      <c r="H15" s="4">
        <v>0.146363746832709</v>
      </c>
      <c r="I15" s="4">
        <v>0.28896949948918299</v>
      </c>
      <c r="J15" s="4">
        <v>0.30878560530709798</v>
      </c>
      <c r="K15" s="4">
        <v>0.40224489520371898</v>
      </c>
      <c r="L15" s="4">
        <v>0.30987430275357097</v>
      </c>
      <c r="M15" s="4">
        <v>3.5749679615226702E-2</v>
      </c>
      <c r="N15" s="4">
        <v>0.19</v>
      </c>
      <c r="O15" s="4">
        <v>95.123999999999995</v>
      </c>
      <c r="P15" s="4">
        <v>182.48702895247999</v>
      </c>
      <c r="Q15" s="4">
        <v>0.28896949948918299</v>
      </c>
      <c r="S15" s="3" t="s">
        <v>19</v>
      </c>
      <c r="T15">
        <v>5.5895311290706502</v>
      </c>
      <c r="U15">
        <v>-2.7290510184016901</v>
      </c>
      <c r="V15">
        <v>-0.62261200210737899</v>
      </c>
      <c r="W15">
        <v>0.19</v>
      </c>
      <c r="X15">
        <v>95.123999999999995</v>
      </c>
      <c r="Y15">
        <v>4.9704688493450204</v>
      </c>
      <c r="Z15">
        <v>-1.4407705092137599</v>
      </c>
      <c r="AJ15" s="3" t="s">
        <v>19</v>
      </c>
      <c r="AK15">
        <v>-0.23129</v>
      </c>
      <c r="AL15">
        <v>-0.72370000000000001</v>
      </c>
      <c r="AN15" s="39" t="s">
        <v>22</v>
      </c>
      <c r="AO15" s="37">
        <f t="shared" si="0"/>
        <v>0.93084999999999996</v>
      </c>
      <c r="AP15">
        <f t="shared" si="1"/>
        <v>0.26645387302942491</v>
      </c>
      <c r="AQ15" s="38">
        <f t="shared" si="2"/>
        <v>1.70190857142857</v>
      </c>
      <c r="AR15">
        <f t="shared" si="3"/>
        <v>0.42603814800928658</v>
      </c>
    </row>
    <row r="16" spans="1:45" x14ac:dyDescent="0.15">
      <c r="A16" t="s">
        <v>27</v>
      </c>
      <c r="B16" s="3" t="s">
        <v>20</v>
      </c>
      <c r="C16" s="4">
        <v>4.9025999999999996</v>
      </c>
      <c r="D16" s="4">
        <v>4.1258999999999997</v>
      </c>
      <c r="E16" s="4">
        <v>14.3127</v>
      </c>
      <c r="F16" s="4">
        <v>11.732200000000001</v>
      </c>
      <c r="G16" s="4">
        <v>35.073399999999999</v>
      </c>
      <c r="H16" s="4">
        <v>0.13978114468514599</v>
      </c>
      <c r="I16" s="4">
        <v>0.25741730200094698</v>
      </c>
      <c r="J16" s="4">
        <v>0.40807848683047598</v>
      </c>
      <c r="K16" s="4">
        <v>0.33450421116857798</v>
      </c>
      <c r="L16" s="4">
        <v>0.30657523535833903</v>
      </c>
      <c r="M16" s="4">
        <v>4.18767123462725E-2</v>
      </c>
      <c r="N16" s="4">
        <v>0.125</v>
      </c>
      <c r="O16" s="4">
        <v>160.96100000000001</v>
      </c>
      <c r="P16" s="4">
        <v>203.59747069816601</v>
      </c>
      <c r="Q16" s="4">
        <v>0.25741730200094698</v>
      </c>
      <c r="S16" s="3" t="s">
        <v>20</v>
      </c>
      <c r="T16">
        <v>7.0492618049957096</v>
      </c>
      <c r="U16">
        <v>-2.7776441700968002</v>
      </c>
      <c r="V16">
        <v>-0.62172497642154501</v>
      </c>
      <c r="W16">
        <v>0.125</v>
      </c>
      <c r="X16">
        <v>160.96100000000001</v>
      </c>
      <c r="Y16">
        <v>5.0700571914226602</v>
      </c>
      <c r="Z16">
        <v>-1.5977897150361899</v>
      </c>
      <c r="AJ16" s="3" t="s">
        <v>20</v>
      </c>
      <c r="AK16">
        <v>-1.6623000000000001</v>
      </c>
      <c r="AL16">
        <v>0.19631999999999999</v>
      </c>
      <c r="AN16" s="39" t="s">
        <v>21</v>
      </c>
      <c r="AO16" s="37">
        <f t="shared" si="0"/>
        <v>1.17833571428571</v>
      </c>
      <c r="AP16">
        <f t="shared" si="1"/>
        <v>0.23313019374893279</v>
      </c>
      <c r="AQ16" s="38">
        <f t="shared" si="2"/>
        <v>0.48893142857142902</v>
      </c>
      <c r="AR16">
        <f t="shared" si="3"/>
        <v>0.4807396454840569</v>
      </c>
    </row>
    <row r="17" spans="1:50" x14ac:dyDescent="0.15">
      <c r="A17" t="s">
        <v>27</v>
      </c>
      <c r="B17" s="3" t="s">
        <v>20</v>
      </c>
      <c r="C17" s="4">
        <v>3.2225999999999999</v>
      </c>
      <c r="D17" s="4">
        <v>2.9975000000000001</v>
      </c>
      <c r="E17" s="4">
        <v>9.7585999999999995</v>
      </c>
      <c r="F17" s="4">
        <v>10.113099999999999</v>
      </c>
      <c r="G17" s="4">
        <v>26.091799999999999</v>
      </c>
      <c r="H17" s="4">
        <v>0.123510068297319</v>
      </c>
      <c r="I17" s="4">
        <v>0.23839290505062899</v>
      </c>
      <c r="J17" s="4">
        <v>0.37401022543481099</v>
      </c>
      <c r="K17" s="4">
        <v>0.38759686951456002</v>
      </c>
      <c r="L17" s="4">
        <v>0.26566827845119301</v>
      </c>
      <c r="M17" s="4">
        <v>4.3634252274328503E-2</v>
      </c>
      <c r="N17" s="4">
        <v>0.12</v>
      </c>
      <c r="O17" s="4">
        <v>196.78749999999999</v>
      </c>
      <c r="P17" s="4">
        <v>201.54718285881401</v>
      </c>
      <c r="Q17" s="4">
        <v>0.23839290505062899</v>
      </c>
      <c r="S17" s="3" t="s">
        <v>20</v>
      </c>
      <c r="T17">
        <v>6.0769983218613897</v>
      </c>
      <c r="U17">
        <v>-3.4960842646607202</v>
      </c>
      <c r="V17">
        <v>-0.62146717218386505</v>
      </c>
      <c r="W17">
        <v>0.12</v>
      </c>
      <c r="X17">
        <v>196.78749999999999</v>
      </c>
      <c r="Y17">
        <v>5.0608573123196603</v>
      </c>
      <c r="Z17">
        <v>-1.70414030834354</v>
      </c>
      <c r="AJ17" s="3" t="s">
        <v>20</v>
      </c>
      <c r="AK17">
        <v>-2.5399699999999998</v>
      </c>
      <c r="AL17">
        <v>0.15215000000000001</v>
      </c>
      <c r="AN17" s="39" t="s">
        <v>23</v>
      </c>
      <c r="AO17" s="37">
        <f t="shared" si="0"/>
        <v>1.4151628571428601</v>
      </c>
      <c r="AP17">
        <f t="shared" si="1"/>
        <v>0.29851097407213795</v>
      </c>
      <c r="AQ17" s="38">
        <f t="shared" si="2"/>
        <v>1.2752314285714299</v>
      </c>
      <c r="AR17">
        <f t="shared" si="3"/>
        <v>0.16781180980957394</v>
      </c>
    </row>
    <row r="18" spans="1:50" x14ac:dyDescent="0.15">
      <c r="A18" t="s">
        <v>27</v>
      </c>
      <c r="B18" s="3" t="s">
        <v>20</v>
      </c>
      <c r="C18" s="4">
        <v>4.0784000000000002</v>
      </c>
      <c r="D18" s="4">
        <v>4.5262000000000002</v>
      </c>
      <c r="E18" s="4">
        <v>15.0959</v>
      </c>
      <c r="F18" s="4">
        <v>12.6806</v>
      </c>
      <c r="G18" s="4">
        <v>36.381100000000004</v>
      </c>
      <c r="H18" s="4">
        <v>0.11210216293625</v>
      </c>
      <c r="I18" s="4">
        <v>0.236512914672728</v>
      </c>
      <c r="J18" s="4">
        <v>0.41493797603700799</v>
      </c>
      <c r="K18" s="4">
        <v>0.348549109290263</v>
      </c>
      <c r="L18" s="4">
        <v>0.29863160478711898</v>
      </c>
      <c r="M18" s="4">
        <v>4.2626755105578701E-2</v>
      </c>
      <c r="N18" s="4">
        <v>0.115</v>
      </c>
      <c r="O18" s="4">
        <v>212.702</v>
      </c>
      <c r="P18" s="4">
        <v>264.33117591566702</v>
      </c>
      <c r="Q18" s="4">
        <v>0.236512914672728</v>
      </c>
      <c r="S18" s="3" t="s">
        <v>20</v>
      </c>
      <c r="T18">
        <v>7.1767010437740701</v>
      </c>
      <c r="U18">
        <v>-2.90055539495867</v>
      </c>
      <c r="V18">
        <v>-0.62161956498217397</v>
      </c>
      <c r="W18">
        <v>0.115</v>
      </c>
      <c r="X18">
        <v>212.702</v>
      </c>
      <c r="Y18">
        <v>5.30676899125302</v>
      </c>
      <c r="Z18">
        <v>-1.71534856368924</v>
      </c>
      <c r="AJ18" s="3" t="s">
        <v>20</v>
      </c>
      <c r="AK18">
        <v>-2.6374599999999999</v>
      </c>
      <c r="AL18">
        <v>0.20416999999999999</v>
      </c>
      <c r="AN18" s="39" t="s">
        <v>19</v>
      </c>
      <c r="AO18" s="37">
        <f t="shared" si="0"/>
        <v>-1.08865428571429</v>
      </c>
      <c r="AP18">
        <f t="shared" si="1"/>
        <v>0.31164714345414624</v>
      </c>
      <c r="AQ18" s="38">
        <f t="shared" si="2"/>
        <v>-1.2293028571428599</v>
      </c>
      <c r="AR18">
        <f t="shared" si="3"/>
        <v>0.22242323725291827</v>
      </c>
    </row>
    <row r="19" spans="1:50" x14ac:dyDescent="0.15">
      <c r="A19" t="s">
        <v>27</v>
      </c>
      <c r="B19" s="3" t="s">
        <v>20</v>
      </c>
      <c r="C19" s="4">
        <v>3.4992999999999999</v>
      </c>
      <c r="D19" s="4">
        <v>4.2484999999999999</v>
      </c>
      <c r="E19" s="4">
        <v>10.286899999999999</v>
      </c>
      <c r="F19" s="4">
        <v>11.6275</v>
      </c>
      <c r="G19" s="4">
        <v>29.662199999999999</v>
      </c>
      <c r="H19" s="4">
        <v>0.11797169461469501</v>
      </c>
      <c r="I19" s="4">
        <v>0.26120112466371298</v>
      </c>
      <c r="J19" s="4">
        <v>0.34680165328262902</v>
      </c>
      <c r="K19" s="4">
        <v>0.391997222053657</v>
      </c>
      <c r="L19" s="4">
        <v>0.29630783944241201</v>
      </c>
      <c r="M19" s="4">
        <v>4.2555462596518802E-2</v>
      </c>
      <c r="N19" s="4">
        <v>0.14000000000000001</v>
      </c>
      <c r="O19" s="4">
        <v>116.426</v>
      </c>
      <c r="P19" s="4">
        <v>186.57572581141099</v>
      </c>
      <c r="Q19" s="4">
        <v>0.26120112466371298</v>
      </c>
      <c r="S19" s="3" t="s">
        <v>20</v>
      </c>
      <c r="T19">
        <v>6.4862296847055303</v>
      </c>
      <c r="U19">
        <v>-2.9372988395290198</v>
      </c>
      <c r="V19">
        <v>-0.62161956498217397</v>
      </c>
      <c r="W19">
        <v>0.14000000000000001</v>
      </c>
      <c r="X19">
        <v>116.426</v>
      </c>
      <c r="Y19">
        <v>4.9906433381783701</v>
      </c>
      <c r="Z19">
        <v>-1.5776809793861299</v>
      </c>
      <c r="AJ19" s="3" t="s">
        <v>20</v>
      </c>
      <c r="AK19">
        <v>-1.2148699999999999</v>
      </c>
      <c r="AL19">
        <v>2.9960000000000001E-2</v>
      </c>
      <c r="AN19" s="39" t="s">
        <v>18</v>
      </c>
      <c r="AO19" s="37">
        <f t="shared" si="0"/>
        <v>-2.0567799999999998</v>
      </c>
      <c r="AP19">
        <f t="shared" si="1"/>
        <v>0.24572231565229019</v>
      </c>
      <c r="AQ19" s="38">
        <f t="shared" si="2"/>
        <v>-0.187464285714286</v>
      </c>
      <c r="AR19">
        <f t="shared" si="3"/>
        <v>0.11804061322590749</v>
      </c>
    </row>
    <row r="20" spans="1:50" x14ac:dyDescent="0.15">
      <c r="A20" t="s">
        <v>27</v>
      </c>
      <c r="B20" s="3" t="s">
        <v>20</v>
      </c>
      <c r="C20" s="4">
        <v>2.1128999999999998</v>
      </c>
      <c r="D20" s="4">
        <v>1.2242999999999999</v>
      </c>
      <c r="E20" s="4">
        <v>3.2879999999999998</v>
      </c>
      <c r="F20" s="4">
        <v>5.1238999999999999</v>
      </c>
      <c r="G20" s="4">
        <v>11.7491</v>
      </c>
      <c r="H20" s="4">
        <v>0.17983505119541099</v>
      </c>
      <c r="I20" s="4">
        <v>0.28403877743827199</v>
      </c>
      <c r="J20" s="4">
        <v>0.27985122264684098</v>
      </c>
      <c r="K20" s="4">
        <v>0.43610999991488703</v>
      </c>
      <c r="L20" s="4">
        <v>0.26864046089975502</v>
      </c>
      <c r="M20" s="4">
        <v>3.8965114388714098E-2</v>
      </c>
      <c r="N20" s="4">
        <v>0.1</v>
      </c>
      <c r="O20" s="4">
        <v>144.40299999999999</v>
      </c>
      <c r="P20" s="4">
        <v>266.79462059745498</v>
      </c>
      <c r="Q20" s="4">
        <v>0.28403877743827199</v>
      </c>
      <c r="S20" s="3" t="s">
        <v>20</v>
      </c>
      <c r="T20">
        <v>3.9041362995511402</v>
      </c>
      <c r="U20">
        <v>-3.4368612479043001</v>
      </c>
      <c r="V20">
        <v>-0.62215043099920397</v>
      </c>
      <c r="W20">
        <v>0.1</v>
      </c>
      <c r="X20">
        <v>144.40299999999999</v>
      </c>
      <c r="Y20">
        <v>5.3151596926006404</v>
      </c>
      <c r="Z20">
        <v>-1.4641642519473801</v>
      </c>
      <c r="AJ20" s="3" t="s">
        <v>20</v>
      </c>
      <c r="AK20">
        <v>-2.3954800000000001</v>
      </c>
      <c r="AL20">
        <v>-1.2519100000000001</v>
      </c>
      <c r="AN20" s="39" t="s">
        <v>20</v>
      </c>
      <c r="AO20" s="37">
        <f t="shared" si="0"/>
        <v>-2.5548157142857102</v>
      </c>
      <c r="AP20">
        <f t="shared" si="1"/>
        <v>0.35612479154990379</v>
      </c>
      <c r="AQ20" s="38">
        <f t="shared" si="2"/>
        <v>3.1617142857142802E-2</v>
      </c>
      <c r="AR20">
        <f t="shared" si="3"/>
        <v>0.22918471221467868</v>
      </c>
    </row>
    <row r="21" spans="1:50" x14ac:dyDescent="0.15">
      <c r="A21" t="s">
        <v>27</v>
      </c>
      <c r="B21" s="3" t="s">
        <v>20</v>
      </c>
      <c r="C21" s="4">
        <v>3.8447</v>
      </c>
      <c r="D21" s="4">
        <v>4.9143999999999997</v>
      </c>
      <c r="E21" s="4">
        <v>15.715400000000001</v>
      </c>
      <c r="F21" s="4">
        <v>17.380099999999999</v>
      </c>
      <c r="G21" s="4">
        <v>41.854599999999998</v>
      </c>
      <c r="H21" s="4">
        <v>9.1858481505019796E-2</v>
      </c>
      <c r="I21" s="4">
        <v>0.209274488347756</v>
      </c>
      <c r="J21" s="4">
        <v>0.37547605281139901</v>
      </c>
      <c r="K21" s="4">
        <v>0.41524945884084402</v>
      </c>
      <c r="L21" s="4">
        <v>0.26422575012001298</v>
      </c>
      <c r="M21" s="4">
        <v>4.4595667161131898E-2</v>
      </c>
      <c r="N21" s="4">
        <v>0.115</v>
      </c>
      <c r="O21" s="4">
        <v>285.09750000000003</v>
      </c>
      <c r="P21" s="4">
        <v>256.45108487393401</v>
      </c>
      <c r="Q21" s="4">
        <v>0.209274488347756</v>
      </c>
      <c r="S21" s="3" t="s">
        <v>20</v>
      </c>
      <c r="T21">
        <v>7.6799426929663301</v>
      </c>
      <c r="U21">
        <v>-3.5273004246012398</v>
      </c>
      <c r="V21">
        <v>-0.62131267352815001</v>
      </c>
      <c r="W21">
        <v>0.115</v>
      </c>
      <c r="X21">
        <v>285.09750000000003</v>
      </c>
      <c r="Y21">
        <v>5.2793834954888297</v>
      </c>
      <c r="Z21">
        <v>-1.8891259431566401</v>
      </c>
      <c r="AJ21" s="3" t="s">
        <v>20</v>
      </c>
      <c r="AK21">
        <v>-3.6878099999999998</v>
      </c>
      <c r="AL21">
        <v>0.71448999999999996</v>
      </c>
    </row>
    <row r="22" spans="1:50" x14ac:dyDescent="0.15">
      <c r="A22" t="s">
        <v>27</v>
      </c>
      <c r="B22" s="3" t="s">
        <v>20</v>
      </c>
      <c r="C22" s="4">
        <v>2.5752999999999999</v>
      </c>
      <c r="D22" s="4">
        <v>2.5061</v>
      </c>
      <c r="E22" s="4">
        <v>10.8902</v>
      </c>
      <c r="F22" s="4">
        <v>9.1920000000000002</v>
      </c>
      <c r="G22" s="4">
        <v>25.163599999999999</v>
      </c>
      <c r="H22" s="4">
        <v>0.102342272170914</v>
      </c>
      <c r="I22" s="4">
        <v>0.20193454036783301</v>
      </c>
      <c r="J22" s="4">
        <v>0.432775914416061</v>
      </c>
      <c r="K22" s="4">
        <v>0.36528954521610602</v>
      </c>
      <c r="L22" s="4">
        <v>0.265239292671551</v>
      </c>
      <c r="M22" s="4">
        <v>4.3634274303087299E-2</v>
      </c>
      <c r="N22" s="4">
        <v>0.12</v>
      </c>
      <c r="O22" s="4">
        <v>280.18299999999999</v>
      </c>
      <c r="P22" s="4">
        <v>275.227397317422</v>
      </c>
      <c r="Q22" s="4">
        <v>0.20193454036783301</v>
      </c>
      <c r="S22" s="3" t="s">
        <v>20</v>
      </c>
      <c r="T22">
        <v>5.9646956631169497</v>
      </c>
      <c r="U22">
        <v>-3.50644482097037</v>
      </c>
      <c r="V22">
        <v>-0.62146717218386505</v>
      </c>
      <c r="W22">
        <v>0.12</v>
      </c>
      <c r="X22">
        <v>280.18299999999999</v>
      </c>
      <c r="Y22">
        <v>5.3432974760561001</v>
      </c>
      <c r="Z22">
        <v>-1.9412798583491699</v>
      </c>
      <c r="AJ22" s="3" t="s">
        <v>20</v>
      </c>
      <c r="AK22">
        <v>-3.7458200000000001</v>
      </c>
      <c r="AL22">
        <v>0.17613999999999999</v>
      </c>
    </row>
    <row r="23" spans="1:50" x14ac:dyDescent="0.15">
      <c r="A23" t="s">
        <v>27</v>
      </c>
      <c r="B23" s="3" t="s">
        <v>21</v>
      </c>
      <c r="C23" s="4">
        <v>6.2191999999999998</v>
      </c>
      <c r="D23" s="4">
        <v>3.4683000000000002</v>
      </c>
      <c r="E23" s="4">
        <v>17.268000000000001</v>
      </c>
      <c r="F23" s="4">
        <v>18.162299999999998</v>
      </c>
      <c r="G23" s="4">
        <v>45.117800000000003</v>
      </c>
      <c r="H23" s="4">
        <v>0.137843600530168</v>
      </c>
      <c r="I23" s="4">
        <v>0.21471569979032701</v>
      </c>
      <c r="J23" s="4">
        <v>0.38273142750754702</v>
      </c>
      <c r="K23" s="4">
        <v>0.40255287270212597</v>
      </c>
      <c r="L23" s="4">
        <v>0.364747095963877</v>
      </c>
      <c r="M23" s="4">
        <v>4.53969461073628E-2</v>
      </c>
      <c r="N23" s="4">
        <v>0.20499999999999999</v>
      </c>
      <c r="O23" s="4">
        <v>123.45399999999999</v>
      </c>
      <c r="P23" s="4">
        <v>113.74371445752099</v>
      </c>
      <c r="Q23" s="4">
        <v>0.21471569979032701</v>
      </c>
      <c r="S23" s="3" t="s">
        <v>21</v>
      </c>
      <c r="T23">
        <v>7.9598058109037098</v>
      </c>
      <c r="U23">
        <v>-2.06677936908509</v>
      </c>
      <c r="V23">
        <v>-0.62118757123920798</v>
      </c>
      <c r="W23">
        <v>0.20499999999999999</v>
      </c>
      <c r="X23">
        <v>123.45399999999999</v>
      </c>
      <c r="Y23">
        <v>4.5381373378147201</v>
      </c>
      <c r="Z23">
        <v>-1.85248356237362</v>
      </c>
      <c r="AJ23" s="3" t="s">
        <v>21</v>
      </c>
      <c r="AK23">
        <v>0.19650000000000001</v>
      </c>
      <c r="AL23">
        <v>1.4036299999999999</v>
      </c>
      <c r="AO23" t="s">
        <v>46</v>
      </c>
      <c r="AP23" t="s">
        <v>48</v>
      </c>
      <c r="AQ23" t="s">
        <v>49</v>
      </c>
      <c r="AR23" t="s">
        <v>19</v>
      </c>
    </row>
    <row r="24" spans="1:50" x14ac:dyDescent="0.15">
      <c r="A24" t="s">
        <v>27</v>
      </c>
      <c r="B24" s="3" t="s">
        <v>21</v>
      </c>
      <c r="C24" s="4">
        <v>4.3238000000000003</v>
      </c>
      <c r="D24" s="4">
        <v>21.062899999999999</v>
      </c>
      <c r="E24" s="4">
        <v>24.481000000000002</v>
      </c>
      <c r="F24" s="4">
        <v>18.452200000000001</v>
      </c>
      <c r="G24" s="4">
        <v>68.319900000000004</v>
      </c>
      <c r="H24" s="4">
        <v>6.3287563360016605E-2</v>
      </c>
      <c r="I24" s="4">
        <v>0.37158573124375199</v>
      </c>
      <c r="J24" s="4">
        <v>0.35832897881876302</v>
      </c>
      <c r="K24" s="4">
        <v>0.27008528993748498</v>
      </c>
      <c r="L24" s="4">
        <v>0.37683717292368801</v>
      </c>
      <c r="M24" s="4">
        <v>4.35751295754708E-2</v>
      </c>
      <c r="N24" s="4">
        <v>0.22</v>
      </c>
      <c r="O24" s="4">
        <v>129.625</v>
      </c>
      <c r="P24" s="4">
        <v>105.16877129382399</v>
      </c>
      <c r="Q24" s="4">
        <v>0.37158573124375199</v>
      </c>
      <c r="S24" s="3" t="s">
        <v>21</v>
      </c>
      <c r="T24">
        <v>9.6459846845576909</v>
      </c>
      <c r="U24">
        <v>-1.9498996664972701</v>
      </c>
      <c r="V24">
        <v>-0.62146717218386505</v>
      </c>
      <c r="W24">
        <v>0.22</v>
      </c>
      <c r="X24">
        <v>129.625</v>
      </c>
      <c r="Y24">
        <v>4.4660991010650601</v>
      </c>
      <c r="Z24">
        <v>-1.1142027495790201</v>
      </c>
      <c r="AJ24" s="3" t="s">
        <v>21</v>
      </c>
      <c r="AK24">
        <v>1.2667900000000001</v>
      </c>
      <c r="AL24">
        <v>1.4779899999999999</v>
      </c>
      <c r="AN24" t="s">
        <v>61</v>
      </c>
      <c r="AO24" t="s">
        <v>62</v>
      </c>
      <c r="AP24" t="s">
        <v>55</v>
      </c>
      <c r="AQ24" t="s">
        <v>56</v>
      </c>
      <c r="AR24" s="34" t="s">
        <v>18</v>
      </c>
      <c r="AS24" s="34" t="s">
        <v>19</v>
      </c>
      <c r="AT24" s="34" t="s">
        <v>20</v>
      </c>
      <c r="AU24" s="34" t="s">
        <v>21</v>
      </c>
      <c r="AV24" s="34" t="s">
        <v>22</v>
      </c>
      <c r="AW24" s="34" t="s">
        <v>23</v>
      </c>
      <c r="AX24" s="35" t="s">
        <v>24</v>
      </c>
    </row>
    <row r="25" spans="1:50" x14ac:dyDescent="0.15">
      <c r="A25" t="s">
        <v>27</v>
      </c>
      <c r="B25" s="3" t="s">
        <v>21</v>
      </c>
      <c r="C25" s="4">
        <v>8.0978999999999992</v>
      </c>
      <c r="D25" s="4">
        <v>13.4796</v>
      </c>
      <c r="E25" s="4">
        <v>4.8540999999999999</v>
      </c>
      <c r="F25" s="4">
        <v>6.4055</v>
      </c>
      <c r="G25" s="4">
        <v>32.8371</v>
      </c>
      <c r="H25" s="4">
        <v>0.24660825712380199</v>
      </c>
      <c r="I25" s="4">
        <v>0.65710735722703895</v>
      </c>
      <c r="J25" s="4">
        <v>0.14782365068778899</v>
      </c>
      <c r="K25" s="4">
        <v>0.195068992085172</v>
      </c>
      <c r="L25" s="4">
        <v>0.34474234116472502</v>
      </c>
      <c r="M25" s="4">
        <v>3.7043678538274297E-2</v>
      </c>
      <c r="N25" s="4">
        <v>0.215</v>
      </c>
      <c r="O25" s="4">
        <v>101.02249999999999</v>
      </c>
      <c r="P25" s="4">
        <v>111.204784429478</v>
      </c>
      <c r="Q25" s="4">
        <v>0.65710735722703895</v>
      </c>
      <c r="S25" s="3" t="s">
        <v>21</v>
      </c>
      <c r="T25">
        <v>6.8239577374915301</v>
      </c>
      <c r="U25">
        <v>-2.2806720251082799</v>
      </c>
      <c r="V25">
        <v>-0.62243308807815401</v>
      </c>
      <c r="W25">
        <v>0.215</v>
      </c>
      <c r="X25">
        <v>101.02249999999999</v>
      </c>
      <c r="Y25">
        <v>4.5174003633278801</v>
      </c>
      <c r="Z25">
        <v>-0.44127836186471803</v>
      </c>
      <c r="AJ25" s="3" t="s">
        <v>21</v>
      </c>
      <c r="AK25">
        <v>1.8807</v>
      </c>
      <c r="AL25">
        <v>-0.14346</v>
      </c>
      <c r="AN25" t="s">
        <v>63</v>
      </c>
      <c r="AO25">
        <v>2.4784000000000002</v>
      </c>
      <c r="AP25">
        <v>8.9999999999999998E-4</v>
      </c>
      <c r="AQ25">
        <v>1711</v>
      </c>
      <c r="AR25" t="s">
        <v>64</v>
      </c>
      <c r="AS25" t="s">
        <v>65</v>
      </c>
      <c r="AT25" t="s">
        <v>64</v>
      </c>
      <c r="AU25" t="s">
        <v>66</v>
      </c>
      <c r="AV25" t="s">
        <v>66</v>
      </c>
      <c r="AW25" t="s">
        <v>66</v>
      </c>
      <c r="AX25" t="s">
        <v>94</v>
      </c>
    </row>
    <row r="26" spans="1:50" x14ac:dyDescent="0.15">
      <c r="A26" t="s">
        <v>27</v>
      </c>
      <c r="B26" s="3" t="s">
        <v>21</v>
      </c>
      <c r="C26" s="4">
        <v>13.4476</v>
      </c>
      <c r="D26" s="4">
        <v>12.0793</v>
      </c>
      <c r="E26" s="4">
        <v>11.6904</v>
      </c>
      <c r="F26" s="4">
        <v>14.543100000000001</v>
      </c>
      <c r="G26" s="4">
        <v>51.760399999999997</v>
      </c>
      <c r="H26" s="4">
        <v>0.259804792853224</v>
      </c>
      <c r="I26" s="4">
        <v>0.49317431859104599</v>
      </c>
      <c r="J26" s="4">
        <v>0.225856059844978</v>
      </c>
      <c r="K26" s="4">
        <v>0.28096962156397598</v>
      </c>
      <c r="L26" s="4">
        <v>0.38943852862152201</v>
      </c>
      <c r="M26" s="4">
        <v>4.3594319179023303E-2</v>
      </c>
      <c r="N26" s="4">
        <v>0.25</v>
      </c>
      <c r="O26" s="4">
        <v>149.67949999999999</v>
      </c>
      <c r="P26" s="4">
        <v>91.465248265608494</v>
      </c>
      <c r="Q26" s="4">
        <v>0.49317431859104599</v>
      </c>
      <c r="S26" s="3" t="s">
        <v>21</v>
      </c>
      <c r="T26">
        <v>8.4911724504627308</v>
      </c>
      <c r="U26">
        <v>-1.83697119676558</v>
      </c>
      <c r="V26">
        <v>-0.62146717218386505</v>
      </c>
      <c r="W26">
        <v>0.25</v>
      </c>
      <c r="X26">
        <v>149.67949999999999</v>
      </c>
      <c r="Y26">
        <v>4.3375367377186498</v>
      </c>
      <c r="Z26">
        <v>-0.76876322642799</v>
      </c>
      <c r="AJ26" s="3" t="s">
        <v>21</v>
      </c>
      <c r="AK26">
        <v>1.98586</v>
      </c>
      <c r="AL26">
        <v>1.3071600000000001</v>
      </c>
      <c r="AN26" t="s">
        <v>70</v>
      </c>
      <c r="AO26">
        <v>1.5572999999999999</v>
      </c>
      <c r="AP26">
        <v>7.2099999999999997E-2</v>
      </c>
      <c r="AQ26">
        <v>1713</v>
      </c>
    </row>
    <row r="27" spans="1:50" x14ac:dyDescent="0.15">
      <c r="A27" t="s">
        <v>27</v>
      </c>
      <c r="B27" s="3" t="s">
        <v>21</v>
      </c>
      <c r="C27" s="4">
        <v>16.6248</v>
      </c>
      <c r="D27" s="4">
        <v>10.839600000000001</v>
      </c>
      <c r="E27" s="4">
        <v>9.3955000000000002</v>
      </c>
      <c r="F27" s="4">
        <v>8.5785999999999998</v>
      </c>
      <c r="G27" s="4">
        <v>45.438499999999998</v>
      </c>
      <c r="H27" s="4">
        <v>0.36587475378808698</v>
      </c>
      <c r="I27" s="4">
        <v>0.60443016384783799</v>
      </c>
      <c r="J27" s="4">
        <v>0.2067739912189</v>
      </c>
      <c r="K27" s="4">
        <v>0.18879584493326099</v>
      </c>
      <c r="L27" s="4">
        <v>0.321579304408458</v>
      </c>
      <c r="M27" s="4">
        <v>4.1294882053773102E-2</v>
      </c>
      <c r="N27" s="4">
        <v>0.22</v>
      </c>
      <c r="O27" s="4">
        <v>156.929</v>
      </c>
      <c r="P27" s="4">
        <v>125.28565597749299</v>
      </c>
      <c r="Q27" s="4">
        <v>0.60443016384783799</v>
      </c>
      <c r="S27" s="3" t="s">
        <v>21</v>
      </c>
      <c r="T27">
        <v>7.9865896602567696</v>
      </c>
      <c r="U27">
        <v>-2.5659118993147501</v>
      </c>
      <c r="V27">
        <v>-0.62181449485183304</v>
      </c>
      <c r="W27">
        <v>0.22</v>
      </c>
      <c r="X27">
        <v>156.929</v>
      </c>
      <c r="Y27">
        <v>4.6268257343522299</v>
      </c>
      <c r="Z27">
        <v>-0.53443450394620395</v>
      </c>
      <c r="AJ27" s="3" t="s">
        <v>21</v>
      </c>
      <c r="AK27">
        <v>1.0720400000000001</v>
      </c>
      <c r="AL27">
        <v>0.48548000000000002</v>
      </c>
      <c r="AN27" t="s">
        <v>73</v>
      </c>
      <c r="AO27">
        <v>3.8155999999999999</v>
      </c>
      <c r="AP27">
        <v>2.9999999999999997E-4</v>
      </c>
      <c r="AQ27">
        <v>1705</v>
      </c>
    </row>
    <row r="28" spans="1:50" x14ac:dyDescent="0.15">
      <c r="A28" t="s">
        <v>27</v>
      </c>
      <c r="B28" s="3" t="s">
        <v>21</v>
      </c>
      <c r="C28" s="4">
        <v>4.4051</v>
      </c>
      <c r="D28" s="4">
        <v>1.0165999999999999</v>
      </c>
      <c r="E28" s="4">
        <v>0.92630000000000001</v>
      </c>
      <c r="F28" s="4">
        <v>1.6711</v>
      </c>
      <c r="G28" s="4">
        <v>8.0190999999999999</v>
      </c>
      <c r="H28" s="4">
        <v>0.54932598421269196</v>
      </c>
      <c r="I28" s="4">
        <v>0.67609831527228703</v>
      </c>
      <c r="J28" s="4">
        <v>0.11551171577857899</v>
      </c>
      <c r="K28" s="4">
        <v>0.208389968949134</v>
      </c>
      <c r="L28" s="4">
        <v>0.28678714075879302</v>
      </c>
      <c r="M28" s="4">
        <v>3.2716947454814599E-2</v>
      </c>
      <c r="N28" s="4">
        <v>0.20499999999999999</v>
      </c>
      <c r="O28" s="4">
        <v>57.11</v>
      </c>
      <c r="P28" s="4">
        <v>175.51190602586399</v>
      </c>
      <c r="Q28" s="4">
        <v>0.67609831527228703</v>
      </c>
      <c r="S28" s="3" t="s">
        <v>21</v>
      </c>
      <c r="T28">
        <v>3.0595016927869199</v>
      </c>
      <c r="U28">
        <v>-3.0962254524408599</v>
      </c>
      <c r="V28">
        <v>-0.62301006493067801</v>
      </c>
      <c r="W28">
        <v>0.20499999999999999</v>
      </c>
      <c r="X28">
        <v>57.11</v>
      </c>
      <c r="Y28">
        <v>4.93496609979137</v>
      </c>
      <c r="Z28">
        <v>-0.40993025700045499</v>
      </c>
      <c r="AJ28" s="3" t="s">
        <v>21</v>
      </c>
      <c r="AK28">
        <v>1.0327599999999999</v>
      </c>
      <c r="AL28">
        <v>-2.0783299999999998</v>
      </c>
      <c r="AN28" t="s">
        <v>74</v>
      </c>
      <c r="AO28">
        <v>4.5597000000000003</v>
      </c>
      <c r="AP28">
        <v>1.2999999999999999E-3</v>
      </c>
      <c r="AQ28">
        <v>1705</v>
      </c>
    </row>
    <row r="29" spans="1:50" x14ac:dyDescent="0.15">
      <c r="A29" t="s">
        <v>27</v>
      </c>
      <c r="B29" s="3" t="s">
        <v>21</v>
      </c>
      <c r="C29" s="4">
        <v>9.6003000000000007</v>
      </c>
      <c r="D29" s="4">
        <v>10.0969</v>
      </c>
      <c r="E29" s="4">
        <v>11.811400000000001</v>
      </c>
      <c r="F29" s="4">
        <v>11.8888</v>
      </c>
      <c r="G29" s="4">
        <v>43.397399999999998</v>
      </c>
      <c r="H29" s="4">
        <v>0.22121832183494899</v>
      </c>
      <c r="I29" s="4">
        <v>0.45387972551351002</v>
      </c>
      <c r="J29" s="4">
        <v>0.27216837875080102</v>
      </c>
      <c r="K29" s="4">
        <v>0.27395189573568901</v>
      </c>
      <c r="L29" s="4">
        <v>0.35666913854745502</v>
      </c>
      <c r="M29" s="4">
        <v>4.4000144638452497E-2</v>
      </c>
      <c r="N29" s="4">
        <v>0.155</v>
      </c>
      <c r="O29" s="4">
        <v>130.66650000000001</v>
      </c>
      <c r="P29" s="4">
        <v>101.46282018378299</v>
      </c>
      <c r="Q29" s="4">
        <v>0.45387972551351002</v>
      </c>
      <c r="S29" s="3" t="s">
        <v>21</v>
      </c>
      <c r="T29">
        <v>7.8139650975760198</v>
      </c>
      <c r="U29">
        <v>-2.14904941629473</v>
      </c>
      <c r="V29">
        <v>-0.62140562434145097</v>
      </c>
      <c r="W29">
        <v>0.155</v>
      </c>
      <c r="X29">
        <v>130.66650000000001</v>
      </c>
      <c r="Y29">
        <v>4.4330938171327396</v>
      </c>
      <c r="Z29">
        <v>-0.86772295034996105</v>
      </c>
      <c r="AJ29" s="3" t="s">
        <v>21</v>
      </c>
      <c r="AK29">
        <v>0.81369999999999998</v>
      </c>
      <c r="AL29">
        <v>0.97004999999999997</v>
      </c>
      <c r="AN29" t="s">
        <v>75</v>
      </c>
      <c r="AO29">
        <v>5.6013000000000002</v>
      </c>
      <c r="AP29">
        <v>2.9999999999999997E-4</v>
      </c>
      <c r="AQ29">
        <v>1706</v>
      </c>
    </row>
    <row r="30" spans="1:50" x14ac:dyDescent="0.15">
      <c r="A30" t="s">
        <v>27</v>
      </c>
      <c r="B30" s="3" t="s">
        <v>22</v>
      </c>
      <c r="C30" s="4">
        <v>9.51</v>
      </c>
      <c r="D30" s="4">
        <v>10.6326</v>
      </c>
      <c r="E30" s="4">
        <v>10.972799999999999</v>
      </c>
      <c r="F30" s="4">
        <v>9.2627000000000006</v>
      </c>
      <c r="G30" s="4">
        <v>40.378100000000003</v>
      </c>
      <c r="H30" s="4">
        <v>0.23552371211126799</v>
      </c>
      <c r="I30" s="4">
        <v>0.49884962392980398</v>
      </c>
      <c r="J30" s="4">
        <v>0.27175127110983399</v>
      </c>
      <c r="K30" s="4">
        <v>0.229399104960362</v>
      </c>
      <c r="L30" s="4">
        <v>0.32575360752187799</v>
      </c>
      <c r="M30" s="4">
        <v>3.7581405882646503E-2</v>
      </c>
      <c r="N30" s="4">
        <v>0.2</v>
      </c>
      <c r="O30" s="4">
        <v>68.489000000000004</v>
      </c>
      <c r="P30" s="4">
        <v>119.93262110203599</v>
      </c>
      <c r="Q30" s="4">
        <v>0.49884962392980398</v>
      </c>
      <c r="S30" s="3" t="s">
        <v>22</v>
      </c>
      <c r="T30">
        <v>7.5486326909337897</v>
      </c>
      <c r="U30">
        <v>-2.51060525062534</v>
      </c>
      <c r="V30">
        <v>-0.62234922695581396</v>
      </c>
      <c r="W30">
        <v>0.2</v>
      </c>
      <c r="X30">
        <v>68.489000000000004</v>
      </c>
      <c r="Y30">
        <v>4.5867746923334902</v>
      </c>
      <c r="Z30">
        <v>-0.755456056054576</v>
      </c>
      <c r="AJ30" s="3" t="s">
        <v>22</v>
      </c>
      <c r="AK30">
        <v>1.40629</v>
      </c>
      <c r="AL30">
        <v>-3.2849999999999997E-2</v>
      </c>
      <c r="AN30" t="s">
        <v>76</v>
      </c>
      <c r="AO30">
        <v>5.9593999999999996</v>
      </c>
      <c r="AP30">
        <v>8.0000000000000004E-4</v>
      </c>
      <c r="AQ30">
        <v>1711</v>
      </c>
    </row>
    <row r="31" spans="1:50" x14ac:dyDescent="0.15">
      <c r="A31" t="s">
        <v>27</v>
      </c>
      <c r="B31" s="3" t="s">
        <v>22</v>
      </c>
      <c r="C31" s="4">
        <v>6.1647999999999996</v>
      </c>
      <c r="D31" s="4">
        <v>21.3032</v>
      </c>
      <c r="E31" s="4">
        <v>20.147500000000001</v>
      </c>
      <c r="F31" s="4">
        <v>14.682399999999999</v>
      </c>
      <c r="G31" s="4">
        <v>62.297899999999998</v>
      </c>
      <c r="H31" s="4">
        <v>9.8956786665361104E-2</v>
      </c>
      <c r="I31" s="4">
        <v>0.440913738665348</v>
      </c>
      <c r="J31" s="4">
        <v>0.32340576488132</v>
      </c>
      <c r="K31" s="4">
        <v>0.235680496453331</v>
      </c>
      <c r="L31" s="4">
        <v>0.39367818806687899</v>
      </c>
      <c r="M31" s="4">
        <v>3.8662970963373303E-2</v>
      </c>
      <c r="N31" s="4">
        <v>0.215</v>
      </c>
      <c r="O31" s="4">
        <v>89.468000000000004</v>
      </c>
      <c r="P31" s="4">
        <v>99.076986232984197</v>
      </c>
      <c r="Q31" s="4">
        <v>0.440913738665348</v>
      </c>
      <c r="S31" s="3" t="s">
        <v>22</v>
      </c>
      <c r="T31">
        <v>9.2496222459196193</v>
      </c>
      <c r="U31">
        <v>-1.8003175918776499</v>
      </c>
      <c r="V31">
        <v>-0.62219339565395204</v>
      </c>
      <c r="W31">
        <v>0.215</v>
      </c>
      <c r="X31">
        <v>89.468000000000004</v>
      </c>
      <c r="Y31">
        <v>4.41119023938586</v>
      </c>
      <c r="Z31">
        <v>-0.90281101308624501</v>
      </c>
      <c r="AJ31" s="3" t="s">
        <v>22</v>
      </c>
      <c r="AK31">
        <v>1.9494400000000001</v>
      </c>
      <c r="AL31">
        <v>0.89278999999999997</v>
      </c>
      <c r="AN31" t="s">
        <v>77</v>
      </c>
      <c r="AO31">
        <v>2.7523</v>
      </c>
      <c r="AP31">
        <v>1.9E-3</v>
      </c>
      <c r="AQ31">
        <v>1714</v>
      </c>
    </row>
    <row r="32" spans="1:50" x14ac:dyDescent="0.15">
      <c r="A32" t="s">
        <v>27</v>
      </c>
      <c r="B32" s="3" t="s">
        <v>22</v>
      </c>
      <c r="C32" s="4">
        <v>8.2170000000000005</v>
      </c>
      <c r="D32" s="4">
        <v>8.7422000000000004</v>
      </c>
      <c r="E32" s="4">
        <v>11.2323</v>
      </c>
      <c r="F32" s="4">
        <v>12.4345</v>
      </c>
      <c r="G32" s="4">
        <v>40.625999999999998</v>
      </c>
      <c r="H32" s="4">
        <v>0.202259636685866</v>
      </c>
      <c r="I32" s="4">
        <v>0.41744695515187302</v>
      </c>
      <c r="J32" s="4">
        <v>0.27648057893959499</v>
      </c>
      <c r="K32" s="4">
        <v>0.30607246590853099</v>
      </c>
      <c r="L32" s="4">
        <v>0.34335468488093601</v>
      </c>
      <c r="M32" s="4">
        <v>5.1283267074390598E-2</v>
      </c>
      <c r="N32" s="4">
        <v>0.17499999999999999</v>
      </c>
      <c r="O32" s="4">
        <v>98.400499999999994</v>
      </c>
      <c r="P32" s="4">
        <v>123.764233532261</v>
      </c>
      <c r="Q32" s="4">
        <v>0.41744695515187302</v>
      </c>
      <c r="S32" s="3" t="s">
        <v>22</v>
      </c>
      <c r="T32">
        <v>7.5708951649683804</v>
      </c>
      <c r="U32">
        <v>-2.29556345744659</v>
      </c>
      <c r="V32">
        <v>-0.62022458040617801</v>
      </c>
      <c r="W32">
        <v>0.17499999999999999</v>
      </c>
      <c r="X32">
        <v>98.400499999999994</v>
      </c>
      <c r="Y32">
        <v>4.61562205752141</v>
      </c>
      <c r="Z32">
        <v>-0.96960194890381302</v>
      </c>
      <c r="AJ32" s="3" t="s">
        <v>22</v>
      </c>
      <c r="AK32">
        <v>0.63673000000000002</v>
      </c>
      <c r="AL32">
        <v>1.20201</v>
      </c>
      <c r="AN32" t="s">
        <v>78</v>
      </c>
      <c r="AO32">
        <v>3.3513999999999999</v>
      </c>
      <c r="AP32">
        <v>1.1000000000000001E-3</v>
      </c>
      <c r="AQ32">
        <v>1711</v>
      </c>
    </row>
    <row r="33" spans="1:43" x14ac:dyDescent="0.15">
      <c r="A33" t="s">
        <v>27</v>
      </c>
      <c r="B33" s="3" t="s">
        <v>22</v>
      </c>
      <c r="C33" s="4">
        <v>5.9271000000000003</v>
      </c>
      <c r="D33" s="4">
        <v>14.496600000000001</v>
      </c>
      <c r="E33" s="4">
        <v>21.630199999999999</v>
      </c>
      <c r="F33" s="4">
        <v>19.792300000000001</v>
      </c>
      <c r="G33" s="4">
        <v>61.846200000000003</v>
      </c>
      <c r="H33" s="4">
        <v>9.5836122510356295E-2</v>
      </c>
      <c r="I33" s="4">
        <v>0.33023370878081398</v>
      </c>
      <c r="J33" s="4">
        <v>0.349741778799667</v>
      </c>
      <c r="K33" s="4">
        <v>0.32002451241951801</v>
      </c>
      <c r="L33" s="4">
        <v>0.34803801812499702</v>
      </c>
      <c r="M33" s="4">
        <v>5.1409830891436602E-2</v>
      </c>
      <c r="N33" s="4">
        <v>0.19</v>
      </c>
      <c r="O33" s="4">
        <v>94.165000000000006</v>
      </c>
      <c r="P33" s="4">
        <v>136.45033278771501</v>
      </c>
      <c r="Q33" s="4">
        <v>0.33023370878081398</v>
      </c>
      <c r="S33" s="3" t="s">
        <v>22</v>
      </c>
      <c r="T33">
        <v>9.2189028825315997</v>
      </c>
      <c r="U33">
        <v>-2.2434410475076301</v>
      </c>
      <c r="V33">
        <v>-0.62020765739467199</v>
      </c>
      <c r="W33">
        <v>0.19</v>
      </c>
      <c r="X33">
        <v>94.165000000000006</v>
      </c>
      <c r="Y33">
        <v>4.7050302944326603</v>
      </c>
      <c r="Z33">
        <v>-1.2652499646391999</v>
      </c>
      <c r="AJ33" s="3" t="s">
        <v>22</v>
      </c>
      <c r="AK33">
        <v>0.42975000000000002</v>
      </c>
      <c r="AL33">
        <v>1.61259</v>
      </c>
      <c r="AN33" t="s">
        <v>79</v>
      </c>
      <c r="AO33">
        <v>4.3963999999999999</v>
      </c>
      <c r="AP33">
        <v>5.0000000000000001E-4</v>
      </c>
      <c r="AQ33">
        <v>1712</v>
      </c>
    </row>
    <row r="34" spans="1:43" x14ac:dyDescent="0.15">
      <c r="A34" t="s">
        <v>27</v>
      </c>
      <c r="B34" s="3" t="s">
        <v>22</v>
      </c>
      <c r="C34" s="4">
        <v>11.5999</v>
      </c>
      <c r="D34" s="4">
        <v>26.968299999999999</v>
      </c>
      <c r="E34" s="4">
        <v>43.498399999999997</v>
      </c>
      <c r="F34" s="4">
        <v>36.5899</v>
      </c>
      <c r="G34" s="4">
        <v>118.65649999999999</v>
      </c>
      <c r="H34" s="4">
        <v>9.7760341827038605E-2</v>
      </c>
      <c r="I34" s="4">
        <v>0.32504076894228301</v>
      </c>
      <c r="J34" s="4">
        <v>0.36659095793319402</v>
      </c>
      <c r="K34" s="4">
        <v>0.30836827312452297</v>
      </c>
      <c r="L34" s="4">
        <v>0.35883898963296401</v>
      </c>
      <c r="M34" s="4">
        <v>5.12433170014183E-2</v>
      </c>
      <c r="N34" s="4">
        <v>0.2</v>
      </c>
      <c r="O34" s="4">
        <v>81.274500000000003</v>
      </c>
      <c r="P34" s="4">
        <v>118.90243726997799</v>
      </c>
      <c r="Q34" s="4">
        <v>0.32504076894228301</v>
      </c>
      <c r="S34" s="3" t="s">
        <v>22</v>
      </c>
      <c r="T34">
        <v>12.303280812293201</v>
      </c>
      <c r="U34">
        <v>-2.1270475425137101</v>
      </c>
      <c r="V34">
        <v>-0.62024148369127596</v>
      </c>
      <c r="W34">
        <v>0.2</v>
      </c>
      <c r="X34">
        <v>81.274500000000003</v>
      </c>
      <c r="Y34">
        <v>4.5788583839888402</v>
      </c>
      <c r="Z34">
        <v>-1.28586887563536</v>
      </c>
      <c r="AJ34" s="3" t="s">
        <v>22</v>
      </c>
      <c r="AK34">
        <v>0.88097000000000003</v>
      </c>
      <c r="AL34">
        <v>2.4459</v>
      </c>
      <c r="AN34" t="s">
        <v>80</v>
      </c>
      <c r="AO34">
        <v>4.8754999999999997</v>
      </c>
      <c r="AP34">
        <v>1E-3</v>
      </c>
      <c r="AQ34">
        <v>1711</v>
      </c>
    </row>
    <row r="35" spans="1:43" x14ac:dyDescent="0.15">
      <c r="A35" t="s">
        <v>27</v>
      </c>
      <c r="B35" s="3" t="s">
        <v>22</v>
      </c>
      <c r="C35" s="4">
        <v>9.6463999999999999</v>
      </c>
      <c r="D35" s="4">
        <v>17.603400000000001</v>
      </c>
      <c r="E35" s="4">
        <v>29.9145</v>
      </c>
      <c r="F35" s="4">
        <v>23.773099999999999</v>
      </c>
      <c r="G35" s="4">
        <v>80.937399999999997</v>
      </c>
      <c r="H35" s="4">
        <v>0.119183467717026</v>
      </c>
      <c r="I35" s="4">
        <v>0.33667748160924399</v>
      </c>
      <c r="J35" s="4">
        <v>0.36960045664921298</v>
      </c>
      <c r="K35" s="4">
        <v>0.29372206174154297</v>
      </c>
      <c r="L35" s="4">
        <v>0.34004108257457799</v>
      </c>
      <c r="M35" s="4">
        <v>6.30604490135631E-2</v>
      </c>
      <c r="N35" s="4">
        <v>0.21</v>
      </c>
      <c r="O35" s="4">
        <v>184.9265</v>
      </c>
      <c r="P35" s="4">
        <v>127.873051709941</v>
      </c>
      <c r="Q35" s="4">
        <v>0.33667748160924399</v>
      </c>
      <c r="S35" s="3" t="s">
        <v>22</v>
      </c>
      <c r="T35">
        <v>10.408053447131101</v>
      </c>
      <c r="U35">
        <v>-2.3351261775802099</v>
      </c>
      <c r="V35">
        <v>-0.618095415385152</v>
      </c>
      <c r="W35">
        <v>0.21</v>
      </c>
      <c r="X35">
        <v>184.9265</v>
      </c>
      <c r="Y35">
        <v>4.6455639304731298</v>
      </c>
      <c r="Z35">
        <v>-1.24003295062673</v>
      </c>
      <c r="AJ35" s="3" t="s">
        <v>22</v>
      </c>
      <c r="AK35">
        <v>-0.15770999999999999</v>
      </c>
      <c r="AL35">
        <v>3.2798600000000002</v>
      </c>
      <c r="AN35" t="s">
        <v>81</v>
      </c>
      <c r="AO35">
        <v>4.1906999999999996</v>
      </c>
      <c r="AP35">
        <v>4.0000000000000002E-4</v>
      </c>
      <c r="AQ35">
        <v>1709</v>
      </c>
    </row>
    <row r="36" spans="1:43" x14ac:dyDescent="0.15">
      <c r="A36" t="s">
        <v>27</v>
      </c>
      <c r="B36" s="3" t="s">
        <v>22</v>
      </c>
      <c r="C36" s="4">
        <v>10.5738</v>
      </c>
      <c r="D36" s="4">
        <v>22.791399999999999</v>
      </c>
      <c r="E36" s="4">
        <v>28.649100000000001</v>
      </c>
      <c r="F36" s="4">
        <v>27.620699999999999</v>
      </c>
      <c r="G36" s="4">
        <v>89.635000000000005</v>
      </c>
      <c r="H36" s="4">
        <v>0.117965080604675</v>
      </c>
      <c r="I36" s="4">
        <v>0.37223406035588802</v>
      </c>
      <c r="J36" s="4">
        <v>0.31961956824901</v>
      </c>
      <c r="K36" s="4">
        <v>0.30814637139510198</v>
      </c>
      <c r="L36" s="4">
        <v>0.39296015878345503</v>
      </c>
      <c r="M36" s="4">
        <v>4.98354838574427E-2</v>
      </c>
      <c r="N36" s="4">
        <v>0.23499999999999999</v>
      </c>
      <c r="O36" s="4">
        <v>159.03450000000001</v>
      </c>
      <c r="P36" s="4">
        <v>92.736939808715505</v>
      </c>
      <c r="Q36" s="4">
        <v>0.37223406035588802</v>
      </c>
      <c r="S36" s="3" t="s">
        <v>22</v>
      </c>
      <c r="T36">
        <v>10.889242858939699</v>
      </c>
      <c r="U36">
        <v>-1.80622202263593</v>
      </c>
      <c r="V36">
        <v>-0.620476049670456</v>
      </c>
      <c r="W36">
        <v>0.23499999999999999</v>
      </c>
      <c r="X36">
        <v>159.03450000000001</v>
      </c>
      <c r="Y36">
        <v>4.3502665234206797</v>
      </c>
      <c r="Z36">
        <v>-1.11216847901798</v>
      </c>
      <c r="AJ36" s="3" t="s">
        <v>22</v>
      </c>
      <c r="AK36">
        <v>1.3704799999999999</v>
      </c>
      <c r="AL36">
        <v>2.5130599999999998</v>
      </c>
      <c r="AN36" t="s">
        <v>82</v>
      </c>
      <c r="AO36">
        <v>4.2988</v>
      </c>
      <c r="AP36">
        <v>4.0000000000000002E-4</v>
      </c>
      <c r="AQ36">
        <v>1706</v>
      </c>
    </row>
    <row r="37" spans="1:43" x14ac:dyDescent="0.15">
      <c r="A37" t="s">
        <v>27</v>
      </c>
      <c r="B37" s="3" t="s">
        <v>23</v>
      </c>
      <c r="C37" s="4">
        <v>5.8602999999999996</v>
      </c>
      <c r="D37" s="4">
        <v>9.6829000000000001</v>
      </c>
      <c r="E37" s="4">
        <v>13.0306</v>
      </c>
      <c r="F37" s="4">
        <v>10.6721</v>
      </c>
      <c r="G37" s="4">
        <v>39.245899999999999</v>
      </c>
      <c r="H37" s="4">
        <v>0.14932260439944001</v>
      </c>
      <c r="I37" s="4">
        <v>0.39604646600026999</v>
      </c>
      <c r="J37" s="4">
        <v>0.33202449173034598</v>
      </c>
      <c r="K37" s="4">
        <v>0.27192904226938402</v>
      </c>
      <c r="L37" s="4">
        <v>0.43382491570299198</v>
      </c>
      <c r="M37" s="4">
        <v>4.1014894088634603E-2</v>
      </c>
      <c r="N37" s="4">
        <v>0.22500000000000001</v>
      </c>
      <c r="O37" s="4">
        <v>71.299000000000007</v>
      </c>
      <c r="P37" s="4">
        <v>95.070320666086602</v>
      </c>
      <c r="Q37" s="4">
        <v>0.39604646600026999</v>
      </c>
      <c r="S37" s="3" t="s">
        <v>23</v>
      </c>
      <c r="T37">
        <v>7.4458086722709496</v>
      </c>
      <c r="U37">
        <v>-1.49810150469873</v>
      </c>
      <c r="V37">
        <v>-0.621858963807429</v>
      </c>
      <c r="W37">
        <v>0.22500000000000001</v>
      </c>
      <c r="X37">
        <v>71.299000000000007</v>
      </c>
      <c r="Y37">
        <v>4.3731684765067298</v>
      </c>
      <c r="Z37">
        <v>-1.03459338717543</v>
      </c>
      <c r="AJ37" s="3" t="s">
        <v>23</v>
      </c>
      <c r="AK37">
        <v>2.2125300000000001</v>
      </c>
      <c r="AL37">
        <v>0.72806999999999999</v>
      </c>
      <c r="AN37" t="s">
        <v>83</v>
      </c>
      <c r="AO37">
        <v>4.7464000000000004</v>
      </c>
      <c r="AP37">
        <v>8.9999999999999998E-4</v>
      </c>
      <c r="AQ37">
        <v>1709</v>
      </c>
    </row>
    <row r="38" spans="1:43" x14ac:dyDescent="0.15">
      <c r="A38" t="s">
        <v>27</v>
      </c>
      <c r="B38" s="3" t="s">
        <v>23</v>
      </c>
      <c r="C38" s="4">
        <v>6.7629000000000001</v>
      </c>
      <c r="D38" s="4">
        <v>17.5992</v>
      </c>
      <c r="E38" s="4">
        <v>25.356200000000001</v>
      </c>
      <c r="F38" s="4">
        <v>15.572800000000001</v>
      </c>
      <c r="G38" s="4">
        <v>65.2911</v>
      </c>
      <c r="H38" s="4">
        <v>0.103580733055501</v>
      </c>
      <c r="I38" s="4">
        <v>0.37313048792254999</v>
      </c>
      <c r="J38" s="4">
        <v>0.38835614654983602</v>
      </c>
      <c r="K38" s="4">
        <v>0.23851336552761401</v>
      </c>
      <c r="L38" s="4">
        <v>0.34791345507055998</v>
      </c>
      <c r="M38" s="4">
        <v>4.5562549068063597E-2</v>
      </c>
      <c r="N38" s="4">
        <v>0.21</v>
      </c>
      <c r="O38" s="4">
        <v>73.623999999999995</v>
      </c>
      <c r="P38" s="4">
        <v>119.233838300827</v>
      </c>
      <c r="Q38" s="4">
        <v>0.37313048792254999</v>
      </c>
      <c r="S38" s="3" t="s">
        <v>23</v>
      </c>
      <c r="T38">
        <v>9.4496081493661208</v>
      </c>
      <c r="U38">
        <v>-2.24455740596966</v>
      </c>
      <c r="V38">
        <v>-0.621156088111533</v>
      </c>
      <c r="W38">
        <v>0.21</v>
      </c>
      <c r="X38">
        <v>73.623999999999995</v>
      </c>
      <c r="Y38">
        <v>4.5814125352092399</v>
      </c>
      <c r="Z38">
        <v>-1.10912465095205</v>
      </c>
      <c r="AJ38" s="3" t="s">
        <v>23</v>
      </c>
      <c r="AK38">
        <v>1.17998</v>
      </c>
      <c r="AL38">
        <v>1.21346</v>
      </c>
      <c r="AN38" t="s">
        <v>84</v>
      </c>
      <c r="AO38">
        <v>5.6712999999999996</v>
      </c>
      <c r="AP38">
        <v>8.0000000000000004E-4</v>
      </c>
      <c r="AQ38">
        <v>1710</v>
      </c>
    </row>
    <row r="39" spans="1:43" x14ac:dyDescent="0.15">
      <c r="A39" t="s">
        <v>27</v>
      </c>
      <c r="B39" s="3" t="s">
        <v>23</v>
      </c>
      <c r="C39" s="4">
        <v>11.174569999999999</v>
      </c>
      <c r="D39" s="4">
        <v>21.559799999999999</v>
      </c>
      <c r="E39" s="4">
        <v>35.723399999999998</v>
      </c>
      <c r="F39" s="4">
        <v>23.146000000000001</v>
      </c>
      <c r="G39" s="4">
        <v>91.603769999999997</v>
      </c>
      <c r="H39" s="4">
        <v>0.12198810158140901</v>
      </c>
      <c r="I39" s="4">
        <v>0.357347410483215</v>
      </c>
      <c r="J39" s="4">
        <v>0.38997739940179299</v>
      </c>
      <c r="K39" s="4">
        <v>0.25267519011499201</v>
      </c>
      <c r="L39" s="4">
        <v>0.38258855961247901</v>
      </c>
      <c r="M39" s="4">
        <v>5.0404185619214198E-2</v>
      </c>
      <c r="N39" s="4">
        <v>0.2</v>
      </c>
      <c r="O39" s="4">
        <v>62.833500000000001</v>
      </c>
      <c r="P39" s="4">
        <v>124.324738053042</v>
      </c>
      <c r="Q39" s="4">
        <v>0.357347410483215</v>
      </c>
      <c r="S39" s="3" t="s">
        <v>23</v>
      </c>
      <c r="T39">
        <v>10.993900775083199</v>
      </c>
      <c r="U39">
        <v>-1.8968608848720301</v>
      </c>
      <c r="V39">
        <v>-0.62037599795642095</v>
      </c>
      <c r="W39">
        <v>0.2</v>
      </c>
      <c r="X39">
        <v>62.833500000000001</v>
      </c>
      <c r="Y39">
        <v>4.6197655700876199</v>
      </c>
      <c r="Z39">
        <v>-1.1639212739454099</v>
      </c>
      <c r="AJ39" s="3" t="s">
        <v>23</v>
      </c>
      <c r="AK39">
        <v>1.2145300000000001</v>
      </c>
      <c r="AL39">
        <v>1.95367</v>
      </c>
      <c r="AN39" t="s">
        <v>85</v>
      </c>
      <c r="AO39">
        <v>6.16</v>
      </c>
      <c r="AP39">
        <v>1.1000000000000001E-3</v>
      </c>
      <c r="AQ39">
        <v>1712</v>
      </c>
    </row>
    <row r="40" spans="1:43" x14ac:dyDescent="0.15">
      <c r="A40" t="s">
        <v>27</v>
      </c>
      <c r="B40" s="3" t="s">
        <v>23</v>
      </c>
      <c r="C40" s="4">
        <v>8.7423999999999999</v>
      </c>
      <c r="D40" s="4">
        <v>20.6995</v>
      </c>
      <c r="E40" s="4">
        <v>27.067900000000002</v>
      </c>
      <c r="F40" s="4">
        <v>19.984300000000001</v>
      </c>
      <c r="G40" s="4">
        <v>76.494100000000003</v>
      </c>
      <c r="H40" s="4">
        <v>0.114288552973367</v>
      </c>
      <c r="I40" s="4">
        <v>0.38489112232185202</v>
      </c>
      <c r="J40" s="4">
        <v>0.353856049028618</v>
      </c>
      <c r="K40" s="4">
        <v>0.26125282864952998</v>
      </c>
      <c r="L40" s="4">
        <v>0.35008495084623698</v>
      </c>
      <c r="M40" s="4">
        <v>4.6064362255719297E-2</v>
      </c>
      <c r="N40" s="4">
        <v>0.22500000000000001</v>
      </c>
      <c r="O40" s="4">
        <v>167.30850000000001</v>
      </c>
      <c r="P40" s="4">
        <v>114.51081109759799</v>
      </c>
      <c r="Q40" s="4">
        <v>0.38489112232185202</v>
      </c>
      <c r="S40" s="3" t="s">
        <v>23</v>
      </c>
      <c r="T40">
        <v>10.1491410774951</v>
      </c>
      <c r="U40">
        <v>-2.2201657585451802</v>
      </c>
      <c r="V40">
        <v>-0.62107701867308296</v>
      </c>
      <c r="W40">
        <v>0.22500000000000001</v>
      </c>
      <c r="X40">
        <v>167.30850000000001</v>
      </c>
      <c r="Y40">
        <v>4.54431016874035</v>
      </c>
      <c r="Z40">
        <v>-1.0700360861882601</v>
      </c>
      <c r="AJ40" s="3" t="s">
        <v>23</v>
      </c>
      <c r="AK40">
        <v>0.78854000000000002</v>
      </c>
      <c r="AL40">
        <v>1.7616000000000001</v>
      </c>
      <c r="AN40" t="s">
        <v>86</v>
      </c>
      <c r="AO40">
        <v>1.4729000000000001</v>
      </c>
      <c r="AP40">
        <v>9.9199999999999997E-2</v>
      </c>
      <c r="AQ40">
        <v>1708</v>
      </c>
    </row>
    <row r="41" spans="1:43" x14ac:dyDescent="0.15">
      <c r="A41" t="s">
        <v>27</v>
      </c>
      <c r="B41" s="3" t="s">
        <v>23</v>
      </c>
      <c r="C41" s="4">
        <v>10.519600000000001</v>
      </c>
      <c r="D41" s="4">
        <v>16.507300000000001</v>
      </c>
      <c r="E41" s="4">
        <v>26.822500000000002</v>
      </c>
      <c r="F41" s="4">
        <v>19.677199999999999</v>
      </c>
      <c r="G41" s="4">
        <v>73.526600000000002</v>
      </c>
      <c r="H41" s="4">
        <v>0.143072031074468</v>
      </c>
      <c r="I41" s="4">
        <v>0.36757989625523302</v>
      </c>
      <c r="J41" s="4">
        <v>0.36479994995008602</v>
      </c>
      <c r="K41" s="4">
        <v>0.26762015379468101</v>
      </c>
      <c r="L41" s="4">
        <v>0.414142725124171</v>
      </c>
      <c r="M41" s="4">
        <v>4.0876386279442498E-2</v>
      </c>
      <c r="N41" s="4">
        <v>0.28000000000000003</v>
      </c>
      <c r="O41" s="4">
        <v>59.856000000000002</v>
      </c>
      <c r="P41" s="4">
        <v>95.760443133346996</v>
      </c>
      <c r="Q41" s="4">
        <v>0.36757989625523302</v>
      </c>
      <c r="S41" s="3" t="s">
        <v>23</v>
      </c>
      <c r="T41">
        <v>9.9707218548496499</v>
      </c>
      <c r="U41">
        <v>-1.63821617830495</v>
      </c>
      <c r="V41">
        <v>-0.62187374365155001</v>
      </c>
      <c r="W41">
        <v>0.28000000000000003</v>
      </c>
      <c r="X41">
        <v>59.856000000000002</v>
      </c>
      <c r="Y41">
        <v>4.3798321493950603</v>
      </c>
      <c r="Z41">
        <v>-1.1278689837206599</v>
      </c>
      <c r="AJ41" s="3" t="s">
        <v>23</v>
      </c>
      <c r="AK41">
        <v>2.62866</v>
      </c>
      <c r="AL41">
        <v>1.2938400000000001</v>
      </c>
      <c r="AN41" t="s">
        <v>87</v>
      </c>
      <c r="AO41">
        <v>1.3426</v>
      </c>
      <c r="AP41">
        <v>0.11609999999999999</v>
      </c>
      <c r="AQ41">
        <v>1708</v>
      </c>
    </row>
    <row r="42" spans="1:43" x14ac:dyDescent="0.15">
      <c r="A42" t="s">
        <v>27</v>
      </c>
      <c r="B42" s="3" t="s">
        <v>23</v>
      </c>
      <c r="C42" s="4">
        <v>7.7157</v>
      </c>
      <c r="D42" s="4">
        <v>15.5444</v>
      </c>
      <c r="E42" s="4">
        <v>24.888400000000001</v>
      </c>
      <c r="F42" s="4">
        <v>17.075900000000001</v>
      </c>
      <c r="G42" s="4">
        <v>65.224400000000003</v>
      </c>
      <c r="H42" s="4">
        <v>0.118294687264275</v>
      </c>
      <c r="I42" s="4">
        <v>0.35661654227558998</v>
      </c>
      <c r="J42" s="4">
        <v>0.38158112608165001</v>
      </c>
      <c r="K42" s="4">
        <v>0.26180233164275901</v>
      </c>
      <c r="L42" s="4">
        <v>0.39042646605029502</v>
      </c>
      <c r="M42" s="4">
        <v>4.2110496975224301E-2</v>
      </c>
      <c r="N42" s="4">
        <v>0.215</v>
      </c>
      <c r="O42" s="4">
        <v>73.994</v>
      </c>
      <c r="P42" s="4">
        <v>114.851350632324</v>
      </c>
      <c r="Q42" s="4">
        <v>0.35661654227558998</v>
      </c>
      <c r="S42" s="3" t="s">
        <v>23</v>
      </c>
      <c r="T42">
        <v>9.4452174509378608</v>
      </c>
      <c r="U42">
        <v>-1.8283647458022501</v>
      </c>
      <c r="V42">
        <v>-0.62169496554744197</v>
      </c>
      <c r="W42">
        <v>0.215</v>
      </c>
      <c r="X42">
        <v>73.994</v>
      </c>
      <c r="Y42">
        <v>4.5470374843813302</v>
      </c>
      <c r="Z42">
        <v>-1.16641788406464</v>
      </c>
      <c r="AJ42" s="3" t="s">
        <v>23</v>
      </c>
      <c r="AK42">
        <v>1.5309600000000001</v>
      </c>
      <c r="AL42">
        <v>1.0811500000000001</v>
      </c>
      <c r="AN42" t="s">
        <v>88</v>
      </c>
      <c r="AO42">
        <v>3.0518000000000001</v>
      </c>
      <c r="AP42">
        <v>2.5999999999999999E-3</v>
      </c>
      <c r="AQ42">
        <v>1711</v>
      </c>
    </row>
    <row r="43" spans="1:43" x14ac:dyDescent="0.15">
      <c r="A43" t="s">
        <v>27</v>
      </c>
      <c r="B43" s="3" t="s">
        <v>23</v>
      </c>
      <c r="C43" s="4">
        <v>5.9718999999999998</v>
      </c>
      <c r="D43" s="4">
        <v>7.5339</v>
      </c>
      <c r="E43" s="4">
        <v>13.5467</v>
      </c>
      <c r="F43" s="4">
        <v>8.5509000000000004</v>
      </c>
      <c r="G43" s="4">
        <v>35.603400000000001</v>
      </c>
      <c r="H43" s="4">
        <v>0.16773398046254001</v>
      </c>
      <c r="I43" s="4">
        <v>0.37934017537650899</v>
      </c>
      <c r="J43" s="4">
        <v>0.38048894206733103</v>
      </c>
      <c r="K43" s="4">
        <v>0.24017088255616001</v>
      </c>
      <c r="L43" s="4">
        <v>0.31417843068698098</v>
      </c>
      <c r="M43" s="4">
        <v>4.7267062502262903E-2</v>
      </c>
      <c r="N43" s="4">
        <v>0.255</v>
      </c>
      <c r="O43" s="4">
        <v>177.3135</v>
      </c>
      <c r="P43" s="4">
        <v>142.268306310165</v>
      </c>
      <c r="Q43" s="4">
        <v>0.37934017537650899</v>
      </c>
      <c r="S43" s="3" t="s">
        <v>23</v>
      </c>
      <c r="T43">
        <v>7.10127864113554</v>
      </c>
      <c r="U43">
        <v>-2.6674796047203801</v>
      </c>
      <c r="V43">
        <v>-0.62088515588836102</v>
      </c>
      <c r="W43">
        <v>0.255</v>
      </c>
      <c r="X43">
        <v>177.3135</v>
      </c>
      <c r="Y43">
        <v>4.7432390975250103</v>
      </c>
      <c r="Z43">
        <v>-1.0883993999861601</v>
      </c>
      <c r="AJ43" s="3" t="s">
        <v>23</v>
      </c>
      <c r="AK43">
        <v>0.35093999999999997</v>
      </c>
      <c r="AL43">
        <v>0.89483000000000001</v>
      </c>
      <c r="AN43" t="s">
        <v>89</v>
      </c>
      <c r="AO43">
        <v>1.0175000000000001</v>
      </c>
      <c r="AP43">
        <v>0.37709999999999999</v>
      </c>
      <c r="AQ43">
        <v>1704</v>
      </c>
    </row>
    <row r="44" spans="1:43" x14ac:dyDescent="0.15">
      <c r="A44" t="s">
        <v>27</v>
      </c>
      <c r="B44" s="3" t="s">
        <v>24</v>
      </c>
      <c r="C44" s="4">
        <v>0.68859999999999999</v>
      </c>
      <c r="D44" s="4">
        <v>1.2056</v>
      </c>
      <c r="E44" s="4">
        <v>0.40649999999999997</v>
      </c>
      <c r="F44" s="4">
        <v>0.32119999999999999</v>
      </c>
      <c r="G44" s="4">
        <v>2.6219000000000001</v>
      </c>
      <c r="H44" s="4">
        <v>0.26263396773332298</v>
      </c>
      <c r="I44" s="4">
        <v>0.45981921507303902</v>
      </c>
      <c r="J44" s="4">
        <v>0.155040237995347</v>
      </c>
      <c r="K44" s="4">
        <v>0.122506579198291</v>
      </c>
      <c r="L44" s="4">
        <v>0.39146780812342802</v>
      </c>
      <c r="M44" s="4">
        <v>2.0266848123174801E-2</v>
      </c>
      <c r="N44" s="4">
        <v>0.26500000000000001</v>
      </c>
      <c r="O44" s="4">
        <v>19.7195</v>
      </c>
      <c r="P44" s="4">
        <v>180.32931776551601</v>
      </c>
      <c r="Q44" s="4">
        <v>0.72245318280636195</v>
      </c>
      <c r="S44" s="3" t="s">
        <v>24</v>
      </c>
      <c r="T44">
        <v>1.1457596796981999</v>
      </c>
      <c r="U44">
        <v>-1.8189556542566501</v>
      </c>
      <c r="V44">
        <v>-0.62441948405485603</v>
      </c>
      <c r="W44">
        <v>0.26500000000000001</v>
      </c>
      <c r="X44">
        <v>19.7195</v>
      </c>
      <c r="Y44">
        <v>4.9596360181135504</v>
      </c>
      <c r="Z44">
        <v>-0.33773942386453298</v>
      </c>
      <c r="AJ44" s="3" t="s">
        <v>24</v>
      </c>
      <c r="AK44">
        <v>2.7925200000000001</v>
      </c>
      <c r="AL44">
        <v>-3.1743199999999998</v>
      </c>
      <c r="AN44" t="s">
        <v>90</v>
      </c>
      <c r="AO44">
        <v>4.4757999999999996</v>
      </c>
      <c r="AP44">
        <v>8.0000000000000004E-4</v>
      </c>
      <c r="AQ44">
        <v>1708</v>
      </c>
    </row>
    <row r="45" spans="1:43" x14ac:dyDescent="0.15">
      <c r="A45" t="s">
        <v>27</v>
      </c>
      <c r="B45" s="3" t="s">
        <v>24</v>
      </c>
      <c r="C45" s="4">
        <v>0.74460000000000004</v>
      </c>
      <c r="D45" s="4">
        <v>2.6998000000000002</v>
      </c>
      <c r="E45" s="4">
        <v>2.4676999999999998</v>
      </c>
      <c r="F45" s="4">
        <v>2.4274</v>
      </c>
      <c r="G45" s="4">
        <v>8.3394999999999992</v>
      </c>
      <c r="H45" s="4">
        <v>8.9285928412974405E-2</v>
      </c>
      <c r="I45" s="4">
        <v>0.32373643503807198</v>
      </c>
      <c r="J45" s="4">
        <v>0.29590503027759502</v>
      </c>
      <c r="K45" s="4">
        <v>0.291072606271359</v>
      </c>
      <c r="L45" s="4">
        <v>0.46671679673838101</v>
      </c>
      <c r="M45" s="4">
        <v>2.4752900301095299E-2</v>
      </c>
      <c r="N45" s="4">
        <v>0.2</v>
      </c>
      <c r="O45" s="4">
        <v>35.5015</v>
      </c>
      <c r="P45" s="4">
        <v>102.641970285258</v>
      </c>
      <c r="Q45" s="4">
        <v>0.41302236345104598</v>
      </c>
      <c r="S45" s="3" t="s">
        <v>24</v>
      </c>
      <c r="T45">
        <v>3.1410490686503998</v>
      </c>
      <c r="U45">
        <v>-1.2939708200447899</v>
      </c>
      <c r="V45">
        <v>-0.62395424391896104</v>
      </c>
      <c r="W45">
        <v>0.2</v>
      </c>
      <c r="X45">
        <v>35.5015</v>
      </c>
      <c r="Y45">
        <v>4.4437269739948801</v>
      </c>
      <c r="Z45">
        <v>-0.98262383164025802</v>
      </c>
      <c r="AJ45" s="3" t="s">
        <v>24</v>
      </c>
      <c r="AK45">
        <v>2.4719600000000002</v>
      </c>
      <c r="AL45">
        <v>-1.5004900000000001</v>
      </c>
      <c r="AN45" t="s">
        <v>91</v>
      </c>
      <c r="AO45">
        <v>4.2270000000000003</v>
      </c>
      <c r="AP45">
        <v>8.9999999999999998E-4</v>
      </c>
      <c r="AQ45">
        <v>1709</v>
      </c>
    </row>
    <row r="46" spans="1:43" x14ac:dyDescent="0.15">
      <c r="A46" t="s">
        <v>27</v>
      </c>
      <c r="B46" s="3" t="s">
        <v>24</v>
      </c>
      <c r="C46" s="4">
        <v>0.22700000000000001</v>
      </c>
      <c r="D46" s="4">
        <v>0.52629999999999999</v>
      </c>
      <c r="E46" s="4">
        <v>0.36170000000000002</v>
      </c>
      <c r="F46" s="4">
        <v>0.55010000000000003</v>
      </c>
      <c r="G46" s="4">
        <v>1.6651</v>
      </c>
      <c r="H46" s="4">
        <v>0.13632814845955199</v>
      </c>
      <c r="I46" s="4">
        <v>0.316077112485737</v>
      </c>
      <c r="J46" s="4">
        <v>0.217224190739295</v>
      </c>
      <c r="K46" s="4">
        <v>0.33037054831541601</v>
      </c>
      <c r="L46" s="4">
        <v>0.37673677533678301</v>
      </c>
      <c r="M46" s="4">
        <v>1.83092140594848E-2</v>
      </c>
      <c r="N46" s="4">
        <v>0.21</v>
      </c>
      <c r="O46" s="4">
        <v>27.145</v>
      </c>
      <c r="P46" s="4">
        <v>172.71509778879599</v>
      </c>
      <c r="Q46" s="4">
        <v>0.45240526094528899</v>
      </c>
      <c r="S46" s="3" t="s">
        <v>24</v>
      </c>
      <c r="T46">
        <v>0.55804578971852004</v>
      </c>
      <c r="U46">
        <v>-1.95083050677809</v>
      </c>
      <c r="V46">
        <v>-0.62460792738718696</v>
      </c>
      <c r="W46">
        <v>0.21</v>
      </c>
      <c r="X46">
        <v>27.145</v>
      </c>
      <c r="Y46">
        <v>4.9203254151396303</v>
      </c>
      <c r="Z46">
        <v>-0.87170787235246505</v>
      </c>
      <c r="AJ46" s="3" t="s">
        <v>24</v>
      </c>
      <c r="AK46">
        <v>1.6869000000000001</v>
      </c>
      <c r="AL46">
        <v>-3.1491600000000002</v>
      </c>
    </row>
    <row r="47" spans="1:43" x14ac:dyDescent="0.15">
      <c r="A47" t="s">
        <v>27</v>
      </c>
      <c r="B47" s="3" t="s">
        <v>24</v>
      </c>
      <c r="C47" s="4">
        <v>0.56210000000000004</v>
      </c>
      <c r="D47" s="4">
        <v>2.8112499999999998</v>
      </c>
      <c r="E47" s="4">
        <v>2.3740000000000001</v>
      </c>
      <c r="F47" s="4">
        <v>1.6752</v>
      </c>
      <c r="G47" s="4">
        <v>7.4225500000000002</v>
      </c>
      <c r="H47" s="4">
        <v>7.5728691622151401E-2</v>
      </c>
      <c r="I47" s="4">
        <v>0.37874450155270101</v>
      </c>
      <c r="J47" s="4">
        <v>0.31983617489946198</v>
      </c>
      <c r="K47" s="4">
        <v>0.225690631925686</v>
      </c>
      <c r="L47" s="4">
        <v>0.39685126497229101</v>
      </c>
      <c r="M47" s="4">
        <v>2.2598086272001799E-2</v>
      </c>
      <c r="N47" s="4">
        <v>0.3</v>
      </c>
      <c r="O47" s="4">
        <v>41.698500000000003</v>
      </c>
      <c r="P47" s="4">
        <v>198.39027661415699</v>
      </c>
      <c r="Q47" s="4">
        <v>0.45447319317485202</v>
      </c>
      <c r="S47" s="3" t="s">
        <v>24</v>
      </c>
      <c r="T47">
        <v>2.9018400071689201</v>
      </c>
      <c r="U47">
        <v>-1.7736287180718999</v>
      </c>
      <c r="V47">
        <v>-0.62418863893300902</v>
      </c>
      <c r="W47">
        <v>0.3</v>
      </c>
      <c r="X47">
        <v>41.698500000000003</v>
      </c>
      <c r="Y47">
        <v>5.0465040704109603</v>
      </c>
      <c r="Z47">
        <v>-0.86613353052651099</v>
      </c>
      <c r="AJ47" s="3" t="s">
        <v>24</v>
      </c>
      <c r="AK47">
        <v>2.3296999999999999</v>
      </c>
      <c r="AL47">
        <v>-2.4417800000000001</v>
      </c>
    </row>
    <row r="48" spans="1:43" x14ac:dyDescent="0.15">
      <c r="A48" t="s">
        <v>27</v>
      </c>
      <c r="B48" s="3" t="s">
        <v>24</v>
      </c>
      <c r="C48" s="4">
        <v>1.3237000000000001</v>
      </c>
      <c r="D48" s="4">
        <v>1.3431</v>
      </c>
      <c r="E48" s="4">
        <v>1.2067000000000001</v>
      </c>
      <c r="F48" s="4">
        <v>1.2670999999999999</v>
      </c>
      <c r="G48" s="4">
        <v>5.1406000000000001</v>
      </c>
      <c r="H48" s="4">
        <v>0.25749912461580399</v>
      </c>
      <c r="I48" s="4">
        <v>0.26127300315138302</v>
      </c>
      <c r="J48" s="4">
        <v>0.23473913550947401</v>
      </c>
      <c r="K48" s="4">
        <v>0.24648873672334001</v>
      </c>
      <c r="L48" s="4">
        <v>0.41896965274053699</v>
      </c>
      <c r="M48" s="4">
        <v>2.3340305893224899E-2</v>
      </c>
      <c r="N48" s="4">
        <v>0.23</v>
      </c>
      <c r="O48" s="4">
        <v>47.347999999999999</v>
      </c>
      <c r="P48" s="4">
        <v>143.021303652212</v>
      </c>
      <c r="Q48" s="4">
        <v>0.51877212776718695</v>
      </c>
      <c r="S48" s="3" t="s">
        <v>24</v>
      </c>
      <c r="T48">
        <v>2.2080049502939301</v>
      </c>
      <c r="U48">
        <v>-1.60195714744837</v>
      </c>
      <c r="V48">
        <v>-0.62411547431646797</v>
      </c>
      <c r="W48">
        <v>0.23</v>
      </c>
      <c r="X48">
        <v>47.347999999999999</v>
      </c>
      <c r="Y48">
        <v>4.7480676731804898</v>
      </c>
      <c r="Z48">
        <v>-0.70939440375312102</v>
      </c>
      <c r="AJ48" s="3" t="s">
        <v>24</v>
      </c>
      <c r="AK48">
        <v>2.32639</v>
      </c>
      <c r="AL48">
        <v>-2.2624900000000001</v>
      </c>
    </row>
    <row r="49" spans="1:38" x14ac:dyDescent="0.15">
      <c r="A49" t="s">
        <v>27</v>
      </c>
      <c r="B49" s="3" t="s">
        <v>24</v>
      </c>
      <c r="C49" s="4">
        <v>0.94010000000000005</v>
      </c>
      <c r="D49" s="4">
        <v>2.8060999999999998</v>
      </c>
      <c r="E49" s="4">
        <v>3.7987000000000002</v>
      </c>
      <c r="F49" s="4">
        <v>4.7295999999999996</v>
      </c>
      <c r="G49" s="4">
        <v>12.2745</v>
      </c>
      <c r="H49" s="4">
        <v>7.6589677787282595E-2</v>
      </c>
      <c r="I49" s="4">
        <v>0.228612163428245</v>
      </c>
      <c r="J49" s="4">
        <v>0.309479001181311</v>
      </c>
      <c r="K49" s="4">
        <v>0.38531915760316099</v>
      </c>
      <c r="L49" s="4">
        <v>0.58224386262769701</v>
      </c>
      <c r="M49" s="4">
        <v>4.1547805024360597E-2</v>
      </c>
      <c r="N49" s="4">
        <v>0.22</v>
      </c>
      <c r="O49" s="4">
        <v>126.473</v>
      </c>
      <c r="P49" s="4">
        <v>116.307712336506</v>
      </c>
      <c r="Q49" s="4">
        <v>0.30520184121552801</v>
      </c>
      <c r="S49" s="3" t="s">
        <v>24</v>
      </c>
      <c r="T49">
        <v>4.00825859337123</v>
      </c>
      <c r="U49">
        <v>-0.78135449059034101</v>
      </c>
      <c r="V49">
        <v>-0.621784741238946</v>
      </c>
      <c r="W49">
        <v>0.22</v>
      </c>
      <c r="X49">
        <v>126.473</v>
      </c>
      <c r="Y49">
        <v>4.5586065188831704</v>
      </c>
      <c r="Z49">
        <v>-1.3682765399905501</v>
      </c>
      <c r="AJ49" s="3" t="s">
        <v>24</v>
      </c>
      <c r="AK49">
        <v>1.59518</v>
      </c>
      <c r="AL49">
        <v>0.19020000000000001</v>
      </c>
    </row>
    <row r="50" spans="1:38" x14ac:dyDescent="0.15">
      <c r="A50" t="s">
        <v>27</v>
      </c>
      <c r="B50" s="3" t="s">
        <v>24</v>
      </c>
      <c r="C50" s="4">
        <v>0.55510000000000004</v>
      </c>
      <c r="D50" s="4">
        <v>1.4730000000000001</v>
      </c>
      <c r="E50" s="4">
        <v>1.4483999999999999</v>
      </c>
      <c r="F50" s="4">
        <v>1.7075</v>
      </c>
      <c r="G50" s="4">
        <v>5.1840000000000002</v>
      </c>
      <c r="H50" s="4">
        <v>0.10707947530864199</v>
      </c>
      <c r="I50" s="4">
        <v>0.28414351851851899</v>
      </c>
      <c r="J50" s="4">
        <v>0.27939814814814801</v>
      </c>
      <c r="K50" s="4">
        <v>0.32937885802469102</v>
      </c>
      <c r="L50" s="4">
        <v>0.37396810514332701</v>
      </c>
      <c r="M50" s="4">
        <v>2.4712112274811501E-2</v>
      </c>
      <c r="N50" s="4">
        <v>0.27</v>
      </c>
      <c r="O50" s="4">
        <v>37.746000000000002</v>
      </c>
      <c r="P50" s="4">
        <v>157.765363957418</v>
      </c>
      <c r="Q50" s="4">
        <v>0.39122299382716103</v>
      </c>
      <c r="S50" s="3" t="s">
        <v>24</v>
      </c>
      <c r="T50">
        <v>2.22290972335295</v>
      </c>
      <c r="U50">
        <v>-1.97617835119416</v>
      </c>
      <c r="V50">
        <v>-0.62396517914539595</v>
      </c>
      <c r="W50">
        <v>0.27</v>
      </c>
      <c r="X50">
        <v>37.746000000000002</v>
      </c>
      <c r="Y50">
        <v>4.8377306890148102</v>
      </c>
      <c r="Z50">
        <v>-1.0497675436557601</v>
      </c>
      <c r="AJ50" s="3" t="s">
        <v>24</v>
      </c>
      <c r="AK50">
        <v>2.0286499999999998</v>
      </c>
      <c r="AL50">
        <v>-2.2283900000000001</v>
      </c>
    </row>
  </sheetData>
  <conditionalFormatting sqref="AP25:AP45">
    <cfRule type="cellIs" dxfId="0" priority="2" operator="lessThan">
      <formula>0.05</formula>
    </cfRule>
  </conditionalFormatting>
  <pageMargins left="0.51180555555555596" right="0.51180555555555596" top="0.78749999999999998" bottom="0.78749999999999998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4"/>
  <sheetViews>
    <sheetView tabSelected="1" zoomScaleNormal="100" workbookViewId="0">
      <selection activeCell="C30" sqref="C30"/>
    </sheetView>
  </sheetViews>
  <sheetFormatPr defaultColWidth="11.59375" defaultRowHeight="12.75" x14ac:dyDescent="0.15"/>
  <sheetData>
    <row r="1" spans="1:8" x14ac:dyDescent="0.15">
      <c r="B1" s="90" t="s">
        <v>109</v>
      </c>
      <c r="C1" s="90"/>
      <c r="D1" s="90"/>
      <c r="E1" s="90"/>
      <c r="F1" s="90"/>
      <c r="G1" s="90"/>
      <c r="H1" s="90"/>
    </row>
    <row r="2" spans="1:8" x14ac:dyDescent="0.15">
      <c r="B2" s="3" t="s">
        <v>22</v>
      </c>
      <c r="C2" s="3" t="s">
        <v>21</v>
      </c>
      <c r="D2" s="3" t="s">
        <v>23</v>
      </c>
      <c r="E2" s="3" t="s">
        <v>19</v>
      </c>
      <c r="F2" s="3" t="s">
        <v>18</v>
      </c>
      <c r="G2" s="3" t="s">
        <v>20</v>
      </c>
      <c r="H2" s="3" t="s">
        <v>24</v>
      </c>
    </row>
    <row r="3" spans="1:8" x14ac:dyDescent="0.15">
      <c r="A3" s="3" t="s">
        <v>2</v>
      </c>
      <c r="B3" s="7">
        <v>12.4680127781</v>
      </c>
      <c r="C3" s="7">
        <v>21.268492476182601</v>
      </c>
      <c r="D3" s="7">
        <v>12.695465821808201</v>
      </c>
      <c r="E3" s="7">
        <v>16.104623111119999</v>
      </c>
      <c r="F3" s="7">
        <v>17.3051406469556</v>
      </c>
      <c r="G3" s="7">
        <v>11.7663337149315</v>
      </c>
      <c r="H3" s="7">
        <v>32.255963886131802</v>
      </c>
    </row>
    <row r="4" spans="1:8" x14ac:dyDescent="0.15">
      <c r="A4" s="3" t="s">
        <v>3</v>
      </c>
      <c r="B4" s="7">
        <v>24.786281565226201</v>
      </c>
      <c r="C4" s="7">
        <v>24.430516850000402</v>
      </c>
      <c r="D4" s="7">
        <v>24.4137851452228</v>
      </c>
      <c r="E4" s="7">
        <v>14.4116579417375</v>
      </c>
      <c r="F4" s="7">
        <v>15.0383131129294</v>
      </c>
      <c r="G4" s="7">
        <v>11.915428899899901</v>
      </c>
      <c r="H4" s="7">
        <v>23.1748968265263</v>
      </c>
    </row>
    <row r="5" spans="1:8" x14ac:dyDescent="0.15">
      <c r="A5" s="3" t="s">
        <v>4</v>
      </c>
      <c r="B5" s="7">
        <v>33.586668961810702</v>
      </c>
      <c r="C5" s="7">
        <v>27.273439402191102</v>
      </c>
      <c r="D5" s="7">
        <v>37.234831162725698</v>
      </c>
      <c r="E5" s="7">
        <v>32.355169645031303</v>
      </c>
      <c r="F5" s="7">
        <v>32.826640102129304</v>
      </c>
      <c r="G5" s="7">
        <v>38.522826467963597</v>
      </c>
      <c r="H5" s="7">
        <v>21.7311887421573</v>
      </c>
    </row>
    <row r="6" spans="1:8" x14ac:dyDescent="0.15">
      <c r="A6" s="3" t="s">
        <v>5</v>
      </c>
      <c r="B6" s="7">
        <v>29.159036694863101</v>
      </c>
      <c r="C6" s="7">
        <v>27.027551271625899</v>
      </c>
      <c r="D6" s="7">
        <v>25.6559178702433</v>
      </c>
      <c r="E6" s="7">
        <v>37.128549302111303</v>
      </c>
      <c r="F6" s="7">
        <v>34.829906137985603</v>
      </c>
      <c r="G6" s="7">
        <v>37.795410917204997</v>
      </c>
      <c r="H6" s="7">
        <v>22.8379505451847</v>
      </c>
    </row>
    <row r="7" spans="1:8" x14ac:dyDescent="0.15">
      <c r="B7" s="91" t="s">
        <v>110</v>
      </c>
      <c r="C7" s="91"/>
      <c r="D7" s="91"/>
      <c r="E7" s="91"/>
      <c r="F7" s="91"/>
      <c r="G7" s="91"/>
      <c r="H7" s="91"/>
    </row>
    <row r="8" spans="1:8" x14ac:dyDescent="0.15">
      <c r="B8" s="7" t="s">
        <v>22</v>
      </c>
      <c r="C8" s="7" t="s">
        <v>21</v>
      </c>
      <c r="D8" s="7" t="s">
        <v>23</v>
      </c>
      <c r="E8" s="7" t="s">
        <v>19</v>
      </c>
      <c r="F8" s="7" t="s">
        <v>18</v>
      </c>
      <c r="G8" s="7" t="s">
        <v>20</v>
      </c>
      <c r="H8" s="7" t="s">
        <v>24</v>
      </c>
    </row>
    <row r="9" spans="1:8" x14ac:dyDescent="0.15">
      <c r="A9" s="3" t="s">
        <v>2</v>
      </c>
      <c r="B9" s="7">
        <v>9.8199194205081302</v>
      </c>
      <c r="C9" s="7">
        <v>11.700106499146999</v>
      </c>
      <c r="D9" s="7">
        <v>11.145170224551499</v>
      </c>
      <c r="E9" s="7">
        <v>11.0912594338542</v>
      </c>
      <c r="F9" s="7">
        <v>11.638047795653501</v>
      </c>
      <c r="G9" s="7">
        <v>9.8041001503372094</v>
      </c>
      <c r="H9" s="7">
        <v>25.1770914369582</v>
      </c>
    </row>
    <row r="10" spans="1:8" x14ac:dyDescent="0.15">
      <c r="A10" s="3" t="s">
        <v>3</v>
      </c>
      <c r="B10" s="7">
        <v>19.213979427033799</v>
      </c>
      <c r="C10" s="7">
        <v>19.572428979013999</v>
      </c>
      <c r="D10" s="7">
        <v>23.003749627167799</v>
      </c>
      <c r="E10" s="7">
        <v>14.6433912118348</v>
      </c>
      <c r="F10" s="7">
        <v>15.8091203550425</v>
      </c>
      <c r="G10" s="7">
        <v>18.7418679571513</v>
      </c>
      <c r="H10" s="7">
        <v>19.535380593004898</v>
      </c>
    </row>
    <row r="11" spans="1:8" x14ac:dyDescent="0.15">
      <c r="A11" s="3" t="s">
        <v>4</v>
      </c>
      <c r="B11" s="7">
        <v>39.638584418047699</v>
      </c>
      <c r="C11" s="7">
        <v>35.267636742318203</v>
      </c>
      <c r="D11" s="7">
        <v>37.022753419404303</v>
      </c>
      <c r="E11" s="7">
        <v>38.560916707006797</v>
      </c>
      <c r="F11" s="7">
        <v>37.456262177876397</v>
      </c>
      <c r="G11" s="7">
        <v>37.944087092702397</v>
      </c>
      <c r="H11" s="7">
        <v>28.9670615220512</v>
      </c>
    </row>
    <row r="12" spans="1:8" x14ac:dyDescent="0.15">
      <c r="A12" s="3" t="s">
        <v>5</v>
      </c>
      <c r="B12" s="7">
        <v>31.327516734410398</v>
      </c>
      <c r="C12" s="7">
        <v>33.4598277795209</v>
      </c>
      <c r="D12" s="7">
        <v>28.828326728876402</v>
      </c>
      <c r="E12" s="7">
        <v>35.704432647304301</v>
      </c>
      <c r="F12" s="7">
        <v>35.096569671427602</v>
      </c>
      <c r="G12" s="7">
        <v>33.509944799809098</v>
      </c>
      <c r="H12" s="7">
        <v>26.320466447985801</v>
      </c>
    </row>
    <row r="13" spans="1:8" x14ac:dyDescent="0.15">
      <c r="A13" s="3"/>
      <c r="B13" s="91" t="s">
        <v>111</v>
      </c>
      <c r="C13" s="91"/>
      <c r="D13" s="91"/>
      <c r="E13" s="91"/>
      <c r="F13" s="91"/>
      <c r="G13" s="91"/>
      <c r="H13" s="91"/>
    </row>
    <row r="14" spans="1:8" x14ac:dyDescent="0.15">
      <c r="A14" s="3"/>
      <c r="B14" s="7" t="s">
        <v>22</v>
      </c>
      <c r="C14" s="7" t="s">
        <v>21</v>
      </c>
      <c r="D14" s="7" t="s">
        <v>23</v>
      </c>
      <c r="E14" s="7" t="s">
        <v>19</v>
      </c>
      <c r="F14" s="7" t="s">
        <v>18</v>
      </c>
      <c r="G14" s="7" t="s">
        <v>20</v>
      </c>
      <c r="H14" s="7" t="s">
        <v>24</v>
      </c>
    </row>
    <row r="15" spans="1:8" x14ac:dyDescent="0.15">
      <c r="A15" s="3" t="s">
        <v>2</v>
      </c>
      <c r="B15" s="7">
        <v>10.326075765167801</v>
      </c>
      <c r="C15" s="7">
        <v>39.533547690058299</v>
      </c>
      <c r="D15" s="7">
        <v>20.437216502941101</v>
      </c>
      <c r="E15" s="7">
        <v>5.1199760873754698</v>
      </c>
      <c r="F15" s="7">
        <v>9.1504111191385409</v>
      </c>
      <c r="G15" s="7">
        <v>7.8825717255141798</v>
      </c>
      <c r="H15" s="7">
        <v>27.576674705035</v>
      </c>
    </row>
    <row r="16" spans="1:8" x14ac:dyDescent="0.15">
      <c r="A16" s="3" t="s">
        <v>3</v>
      </c>
      <c r="B16" s="7">
        <v>29.3713577738576</v>
      </c>
      <c r="C16" s="7">
        <v>19.038758887501501</v>
      </c>
      <c r="D16" s="7">
        <v>20.082529663187799</v>
      </c>
      <c r="E16" s="7">
        <v>16.5443504458053</v>
      </c>
      <c r="F16" s="7">
        <v>17.138851618674099</v>
      </c>
      <c r="G16" s="7">
        <v>18.465309286003599</v>
      </c>
      <c r="H16" s="7">
        <v>22.484665058992999</v>
      </c>
    </row>
    <row r="17" spans="1:8" x14ac:dyDescent="0.15">
      <c r="A17" s="3" t="s">
        <v>4</v>
      </c>
      <c r="B17" s="7">
        <v>30.068571663909601</v>
      </c>
      <c r="C17" s="7">
        <v>19.296633909336201</v>
      </c>
      <c r="D17" s="7">
        <v>27.786170765727199</v>
      </c>
      <c r="E17" s="7">
        <v>35.278593874749703</v>
      </c>
      <c r="F17" s="7">
        <v>29.131833350535</v>
      </c>
      <c r="G17" s="7">
        <v>33.094772549404503</v>
      </c>
      <c r="H17" s="7">
        <v>23.637982099794399</v>
      </c>
    </row>
    <row r="18" spans="1:8" x14ac:dyDescent="0.15">
      <c r="A18" s="3" t="s">
        <v>5</v>
      </c>
      <c r="B18" s="7">
        <v>30.233994797065002</v>
      </c>
      <c r="C18" s="7">
        <v>22.131059513103999</v>
      </c>
      <c r="D18" s="7">
        <v>31.6940830681439</v>
      </c>
      <c r="E18" s="7">
        <v>43.057079592069499</v>
      </c>
      <c r="F18" s="7">
        <v>44.578903911652297</v>
      </c>
      <c r="G18" s="7">
        <v>40.557346439077698</v>
      </c>
      <c r="H18" s="7">
        <v>26.300678136177599</v>
      </c>
    </row>
    <row r="19" spans="1:8" x14ac:dyDescent="0.15">
      <c r="B19" s="91" t="s">
        <v>112</v>
      </c>
      <c r="C19" s="91"/>
      <c r="D19" s="91"/>
      <c r="E19" s="91"/>
      <c r="F19" s="91"/>
      <c r="G19" s="91"/>
      <c r="H19" s="91"/>
    </row>
    <row r="20" spans="1:8" x14ac:dyDescent="0.15">
      <c r="B20" s="7" t="s">
        <v>22</v>
      </c>
      <c r="C20" s="7" t="s">
        <v>21</v>
      </c>
      <c r="D20" s="7" t="s">
        <v>23</v>
      </c>
      <c r="E20" s="7" t="s">
        <v>19</v>
      </c>
      <c r="F20" s="7" t="s">
        <v>18</v>
      </c>
      <c r="G20" s="7" t="s">
        <v>20</v>
      </c>
      <c r="H20" s="7" t="s">
        <v>24</v>
      </c>
    </row>
    <row r="21" spans="1:8" x14ac:dyDescent="0.15">
      <c r="A21" s="3" t="s">
        <v>2</v>
      </c>
      <c r="B21" s="7">
        <v>9.3576158981823703</v>
      </c>
      <c r="C21" s="7">
        <v>12.3994996174467</v>
      </c>
      <c r="D21" s="7">
        <v>12.9133543860989</v>
      </c>
      <c r="E21" s="7">
        <v>10.350995364967099</v>
      </c>
      <c r="F21" s="7">
        <v>11.5757611099885</v>
      </c>
      <c r="G21" s="7">
        <v>4.4008036646557898</v>
      </c>
      <c r="H21" s="7">
        <v>34.739215842706599</v>
      </c>
    </row>
    <row r="22" spans="1:8" x14ac:dyDescent="0.15">
      <c r="A22" s="3" t="s">
        <v>3</v>
      </c>
      <c r="B22" s="7">
        <v>47.563215342203897</v>
      </c>
      <c r="C22" s="7">
        <v>43.234399020891601</v>
      </c>
      <c r="D22" s="7">
        <v>50.032065248527303</v>
      </c>
      <c r="E22" s="7">
        <v>43.883824068825199</v>
      </c>
      <c r="F22" s="7">
        <v>44.519967397952499</v>
      </c>
      <c r="G22" s="7">
        <v>47.844365660537697</v>
      </c>
      <c r="H22" s="7">
        <v>33.244645091750201</v>
      </c>
    </row>
    <row r="23" spans="1:8" x14ac:dyDescent="0.15">
      <c r="A23" s="3" t="s">
        <v>4</v>
      </c>
      <c r="B23" s="7">
        <v>18.0658917080512</v>
      </c>
      <c r="C23" s="7">
        <v>16.170214130108</v>
      </c>
      <c r="D23" s="7">
        <v>14.8693519069882</v>
      </c>
      <c r="E23" s="7">
        <v>13.0725265930842</v>
      </c>
      <c r="F23" s="7">
        <v>20.458191671288901</v>
      </c>
      <c r="G23" s="7">
        <v>15.0663900629067</v>
      </c>
      <c r="H23" s="7">
        <v>11.666455592743</v>
      </c>
    </row>
    <row r="24" spans="1:8" x14ac:dyDescent="0.15">
      <c r="A24" s="3" t="s">
        <v>5</v>
      </c>
      <c r="B24" s="7">
        <v>25.0132770515625</v>
      </c>
      <c r="C24" s="7">
        <v>28.195887231553701</v>
      </c>
      <c r="D24" s="7">
        <v>22.185228458385499</v>
      </c>
      <c r="E24" s="7">
        <v>32.692653973123498</v>
      </c>
      <c r="F24" s="7">
        <v>23.446079820770102</v>
      </c>
      <c r="G24" s="7">
        <v>32.6884406118998</v>
      </c>
      <c r="H24" s="7">
        <v>20.349683472800201</v>
      </c>
    </row>
  </sheetData>
  <mergeCells count="4">
    <mergeCell ref="B1:H1"/>
    <mergeCell ref="B7:H7"/>
    <mergeCell ref="B13:H13"/>
    <mergeCell ref="B19:H19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2668</TotalTime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Traços TUDO</vt:lpstr>
      <vt:lpstr>Alocação</vt:lpstr>
      <vt:lpstr>Plasticidade</vt:lpstr>
      <vt:lpstr>Cabreuva</vt:lpstr>
      <vt:lpstr>Jatobá</vt:lpstr>
      <vt:lpstr>Amendoim</vt:lpstr>
      <vt:lpstr>SBS</vt:lpstr>
      <vt:lpstr>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Andréa Lúcia Teixeira de Souza</dc:creator>
  <dc:description/>
  <cp:lastModifiedBy>Caroline Vicente</cp:lastModifiedBy>
  <cp:revision>129</cp:revision>
  <dcterms:created xsi:type="dcterms:W3CDTF">2021-07-17T15:43:31Z</dcterms:created>
  <dcterms:modified xsi:type="dcterms:W3CDTF">2025-12-06T14:47:14Z</dcterms:modified>
  <dc:language>en-US</dc:language>
</cp:coreProperties>
</file>